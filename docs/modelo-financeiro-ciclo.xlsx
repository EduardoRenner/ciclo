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Calendario" sheetId="4" state="visible" r:id="rId4"/>
    <sheet xmlns:r="http://schemas.openxmlformats.org/officeDocument/2006/relationships" name="Pessimista" sheetId="5" state="visible" r:id="rId5"/>
    <sheet xmlns:r="http://schemas.openxmlformats.org/officeDocument/2006/relationships" name="Base" sheetId="6" state="visible" r:id="rId6"/>
    <sheet xmlns:r="http://schemas.openxmlformats.org/officeDocument/2006/relationships" name="Otimista" sheetId="7" state="visible" r:id="rId7"/>
    <sheet xmlns:r="http://schemas.openxmlformats.org/officeDocument/2006/relationships" name="Metas" sheetId="8" state="visible" r:id="rId8"/>
    <sheet xmlns:r="http://schemas.openxmlformats.org/officeDocument/2006/relationships" name="Infr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R$ #,##0.00;(R$ #,##0.00);&quot;-&quot;"/>
    <numFmt numFmtId="165" formatCode="0.0%;(0.0%);&quot;-&quot;"/>
    <numFmt numFmtId="166" formatCode="US$ #,##0.00;(US$ #,##0.00);&quot;-&quot;"/>
    <numFmt numFmtId="167" formatCode="R$ #,##0;(R$ #,##0);&quot;-&quot;"/>
    <numFmt numFmtId="168" formatCode="#,##0;(#,##0);&quot;-&quot;"/>
    <numFmt numFmtId="169" formatCode="#,##0.0;(#,##0.0);&quot;-&quot;"/>
    <numFmt numFmtId="170" formatCode="0.0&quot;x&quot;"/>
    <numFmt numFmtId="171" formatCode="0.000"/>
    <numFmt numFmtId="172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right"/>
    </xf>
    <xf numFmtId="169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70" fontId="5" fillId="0" borderId="0" applyAlignment="1" pivotButton="0" quotePrefix="0" xfId="0">
      <alignment horizontal="right"/>
    </xf>
    <xf numFmtId="2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0" borderId="0" pivotButton="0" quotePrefix="0" xfId="0"/>
    <xf numFmtId="166" fontId="4" fillId="0" borderId="0" pivotButton="0" quotePrefix="0" xfId="0"/>
    <xf numFmtId="166" fontId="5" fillId="0" borderId="0" pivotButton="0" quotePrefix="0" xfId="0"/>
    <xf numFmtId="167" fontId="4" fillId="0" borderId="0" pivotButton="0" quotePrefix="0" xfId="0"/>
    <xf numFmtId="164" fontId="2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0" fontId="3" fillId="2" borderId="0" applyAlignment="1" pivotButton="0" quotePrefix="0" xfId="0">
      <alignment horizontal="center"/>
    </xf>
    <xf numFmtId="168" fontId="2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169" fontId="2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7" fontId="2" fillId="0" borderId="0" pivotButton="0" quotePrefix="0" xfId="0"/>
    <xf numFmtId="167" fontId="6" fillId="0" borderId="0" pivotButton="0" quotePrefix="0" xfId="0"/>
    <xf numFmtId="169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70" fontId="2" fillId="0" borderId="0" applyAlignment="1" pivotButton="0" quotePrefix="0" xfId="0">
      <alignment horizontal="right"/>
    </xf>
    <xf numFmtId="167" fontId="5" fillId="0" borderId="0" pivotButton="0" quotePrefix="0" xfId="0"/>
    <xf numFmtId="164" fontId="5" fillId="0" borderId="0" pivotButton="0" quotePrefix="0" xfId="0"/>
    <xf numFmtId="168" fontId="5" fillId="0" borderId="0" pivotButton="0" quotePrefix="0" xfId="0"/>
    <xf numFmtId="171" fontId="4" fillId="0" borderId="0" pivotButton="0" quotePrefix="0" xfId="0"/>
    <xf numFmtId="172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CICLO · Modelo financeiro e de metas</t>
        </is>
      </c>
    </row>
    <row r="3" ht="32" customHeight="1">
      <c r="A3" s="2" t="inlineStr">
        <is>
          <t>Como usar: mude só as células em AZUL nas abas Premissas, Calendario, Infra e Metas. O resto recalcula.</t>
        </is>
      </c>
    </row>
    <row r="4" ht="32" customHeight="1">
      <c r="A4" s="2" t="inlineStr">
        <is>
          <t>Abas: Resumo (os 3 cenários lado a lado) · Premissas · Calendario · Pessimista/Base/Otimista (mês a mês) · Metas (quantas abordagens por dia) · Infra (quantas contas cabem antes de pagar mais).</t>
        </is>
      </c>
    </row>
    <row r="5" ht="32" customHeight="1">
      <c r="A5" s="2" t="inlineStr">
        <is>
          <t>Cores: azul = você pode mudar · preto = fórmula · verde = veio de outra aba.</t>
        </is>
      </c>
    </row>
    <row r="6" ht="32" customHeight="1">
      <c r="A6" s="2" t="inlineStr">
        <is>
          <t>Marcadores: [M] medido no banco ou no código · [P] preço público conferido em 28-30/09/2026 · [E] estimativa minha · [H] hipótese de funil que só o campo confirma.</t>
        </is>
      </c>
    </row>
    <row r="7" ht="32" customHeight="1">
      <c r="A7" s="2" t="inlineStr">
        <is>
          <t>O que NÃO está no modelo: WhatsApp automático (fora até 20 assinantes, docs/87 E1), anúncio pago, IA externa (o assistente roda no Motor próprio, sem custo por pergunta), funcionário.</t>
        </is>
      </c>
    </row>
    <row r="8" ht="32" customHeight="1">
      <c r="A8" s="2" t="inlineStr">
        <is>
          <t>Cuidado: as taxas de funil são hipóteses. Depois do alpha (10 contas) troque os azuis da coluna Base pelos números medidos.</t>
        </is>
      </c>
    </row>
    <row r="9" ht="32" customHeight="1">
      <c r="A9" s="2" t="inlineStr">
        <is>
          <t>Fontes de preço: supabase.com/pricing · vercel.com/pricing · resend.com/pricing · sentry.io/pricing · upstash.com/pricing (não usado em produção) · docs/18 e docs/87 do repositório.</t>
        </is>
      </c>
    </row>
    <row r="10" ht="32" customHeight="1">
      <c r="A10" s="2" t="inlineStr">
        <is>
          <t>Mercado Pago: a tabela oficial bloqueou a leitura automática. A taxa do cartão recorrente está estimada e precisa ser conferida no painel.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CICLO · Resumo dos três cenários (Out/26 a Dez/28)</t>
        </is>
      </c>
    </row>
    <row r="2">
      <c r="A2" s="3" t="inlineStr">
        <is>
          <t>Todos os números vêm das abas de cenário. Mude as premissas e isto recalcula.</t>
        </is>
      </c>
    </row>
    <row r="4">
      <c r="A4" s="4" t="inlineStr">
        <is>
          <t>Indicador</t>
        </is>
      </c>
      <c r="B4" s="4" t="inlineStr">
        <is>
          <t>Pessimista</t>
        </is>
      </c>
      <c r="C4" s="4" t="inlineStr">
        <is>
          <t>Base</t>
        </is>
      </c>
      <c r="D4" s="4" t="inlineStr">
        <is>
          <t>Otimista</t>
        </is>
      </c>
    </row>
    <row r="5">
      <c r="A5" s="3" t="inlineStr">
        <is>
          <t>Contas criadas até Dez/26</t>
        </is>
      </c>
      <c r="B5" s="5">
        <f>Pessimista!E17</f>
        <v/>
      </c>
      <c r="C5" s="5">
        <f>Base!E17</f>
        <v/>
      </c>
      <c r="D5" s="5">
        <f>Otimista!E17</f>
        <v/>
      </c>
    </row>
    <row r="6">
      <c r="A6" s="3" t="inlineStr">
        <is>
          <t>Pagantes em Jan/27 (lançamento)</t>
        </is>
      </c>
      <c r="B6" s="6">
        <f>Pessimista!F23</f>
        <v/>
      </c>
      <c r="C6" s="6">
        <f>Base!F23</f>
        <v/>
      </c>
      <c r="D6" s="6">
        <f>Otimista!F23</f>
        <v/>
      </c>
    </row>
    <row r="7">
      <c r="A7" s="3" t="inlineStr">
        <is>
          <t>Pagantes em Jun/27</t>
        </is>
      </c>
      <c r="B7" s="6">
        <f>Pessimista!K23</f>
        <v/>
      </c>
      <c r="C7" s="6">
        <f>Base!K23</f>
        <v/>
      </c>
      <c r="D7" s="6">
        <f>Otimista!K23</f>
        <v/>
      </c>
    </row>
    <row r="8">
      <c r="A8" s="3" t="inlineStr">
        <is>
          <t>Pagantes em Dez/27</t>
        </is>
      </c>
      <c r="B8" s="6">
        <f>Pessimista!Q23</f>
        <v/>
      </c>
      <c r="C8" s="6">
        <f>Base!Q23</f>
        <v/>
      </c>
      <c r="D8" s="6">
        <f>Otimista!Q23</f>
        <v/>
      </c>
    </row>
    <row r="9">
      <c r="A9" s="3" t="inlineStr">
        <is>
          <t>Pagantes em Dez/28</t>
        </is>
      </c>
      <c r="B9" s="6">
        <f>Pessimista!C54</f>
        <v/>
      </c>
      <c r="C9" s="6">
        <f>Base!C54</f>
        <v/>
      </c>
      <c r="D9" s="6">
        <f>Otimista!C54</f>
        <v/>
      </c>
    </row>
    <row r="10">
      <c r="A10" s="3" t="inlineStr">
        <is>
          <t>Receita bruta mensal em Jun/27</t>
        </is>
      </c>
      <c r="B10" s="7">
        <f>Pessimista!K28</f>
        <v/>
      </c>
      <c r="C10" s="7">
        <f>Base!K28</f>
        <v/>
      </c>
      <c r="D10" s="7">
        <f>Otimista!K28</f>
        <v/>
      </c>
    </row>
    <row r="11">
      <c r="A11" s="3" t="inlineStr">
        <is>
          <t>Receita bruta mensal em Dez/27</t>
        </is>
      </c>
      <c r="B11" s="7">
        <f>Pessimista!Q28</f>
        <v/>
      </c>
      <c r="C11" s="7">
        <f>Base!Q28</f>
        <v/>
      </c>
      <c r="D11" s="7">
        <f>Otimista!Q28</f>
        <v/>
      </c>
    </row>
    <row r="12">
      <c r="A12" s="3" t="inlineStr">
        <is>
          <t>Receita bruta mensal em Dez/28</t>
        </is>
      </c>
      <c r="B12" s="7">
        <f>Pessimista!C55</f>
        <v/>
      </c>
      <c r="C12" s="7">
        <f>Base!C55</f>
        <v/>
      </c>
      <c r="D12" s="7">
        <f>Otimista!C55</f>
        <v/>
      </c>
    </row>
    <row r="13">
      <c r="A13" s="3" t="inlineStr">
        <is>
          <t>Resultado operacional em Dez/27</t>
        </is>
      </c>
      <c r="B13" s="7">
        <f>Pessimista!Q41</f>
        <v/>
      </c>
      <c r="C13" s="7">
        <f>Base!Q41</f>
        <v/>
      </c>
      <c r="D13" s="7">
        <f>Otimista!Q41</f>
        <v/>
      </c>
    </row>
    <row r="14">
      <c r="A14" s="3" t="inlineStr">
        <is>
          <t>Resultado operacional em Dez/28</t>
        </is>
      </c>
      <c r="B14" s="7">
        <f>Pessimista!C56</f>
        <v/>
      </c>
      <c r="C14" s="7">
        <f>Base!C56</f>
        <v/>
      </c>
      <c r="D14" s="7">
        <f>Otimista!C56</f>
        <v/>
      </c>
    </row>
    <row r="15">
      <c r="A15" s="3" t="inlineStr">
        <is>
          <t>Primeiro mês no azul (operacional)</t>
        </is>
      </c>
      <c r="B15" s="8">
        <f>Pessimista!C57</f>
        <v/>
      </c>
      <c r="C15" s="8">
        <f>Base!C57</f>
        <v/>
      </c>
      <c r="D15" s="8">
        <f>Otimista!C57</f>
        <v/>
      </c>
    </row>
    <row r="16">
      <c r="A16" s="3" t="inlineStr">
        <is>
          <t>Caixa acumulado volta ao positivo em</t>
        </is>
      </c>
      <c r="B16" s="8">
        <f>Pessimista!C58</f>
        <v/>
      </c>
      <c r="C16" s="8">
        <f>Base!C58</f>
        <v/>
      </c>
      <c r="D16" s="8">
        <f>Otimista!C58</f>
        <v/>
      </c>
    </row>
    <row r="17">
      <c r="A17" s="3" t="inlineStr">
        <is>
          <t>Maior exposição de caixa</t>
        </is>
      </c>
      <c r="B17" s="7">
        <f>Pessimista!C59</f>
        <v/>
      </c>
      <c r="C17" s="7">
        <f>Base!C59</f>
        <v/>
      </c>
      <c r="D17" s="7">
        <f>Otimista!C59</f>
        <v/>
      </c>
    </row>
    <row r="18">
      <c r="A18" s="3" t="inlineStr">
        <is>
          <t>Caixa acumulado em Dez/27</t>
        </is>
      </c>
      <c r="B18" s="7">
        <f>Pessimista!Q44</f>
        <v/>
      </c>
      <c r="C18" s="7">
        <f>Base!Q44</f>
        <v/>
      </c>
      <c r="D18" s="7">
        <f>Otimista!Q44</f>
        <v/>
      </c>
    </row>
    <row r="19">
      <c r="A19" s="3" t="inlineStr">
        <is>
          <t>Caixa acumulado em Dez/28</t>
        </is>
      </c>
      <c r="B19" s="7">
        <f>Pessimista!C60</f>
        <v/>
      </c>
      <c r="C19" s="7">
        <f>Base!C60</f>
        <v/>
      </c>
      <c r="D19" s="7">
        <f>Otimista!C60</f>
        <v/>
      </c>
    </row>
    <row r="20">
      <c r="A20" s="3" t="inlineStr">
        <is>
          <t>Retorno sobre o total gasto</t>
        </is>
      </c>
      <c r="B20" s="9">
        <f>Pessimista!C61</f>
        <v/>
      </c>
      <c r="C20" s="9">
        <f>Base!C61</f>
        <v/>
      </c>
      <c r="D20" s="9">
        <f>Otimista!C61</f>
        <v/>
      </c>
    </row>
    <row r="21">
      <c r="A21" s="3" t="inlineStr">
        <is>
          <t>Receita líquida por pagante</t>
        </is>
      </c>
      <c r="B21" s="10">
        <f>Pessimista!C63</f>
        <v/>
      </c>
      <c r="C21" s="10">
        <f>Base!C63</f>
        <v/>
      </c>
      <c r="D21" s="10">
        <f>Otimista!C63</f>
        <v/>
      </c>
    </row>
    <row r="22">
      <c r="A22" s="3" t="inlineStr">
        <is>
          <t>LTV descontando o suporte</t>
        </is>
      </c>
      <c r="B22" s="7">
        <f>Pessimista!C65</f>
        <v/>
      </c>
      <c r="C22" s="7">
        <f>Base!C65</f>
        <v/>
      </c>
      <c r="D22" s="7">
        <f>Otimista!C65</f>
        <v/>
      </c>
    </row>
    <row r="23">
      <c r="A23" s="3" t="inlineStr">
        <is>
          <t>CAC contando o seu tempo</t>
        </is>
      </c>
      <c r="B23" s="7">
        <f>Pessimista!C67</f>
        <v/>
      </c>
      <c r="C23" s="7">
        <f>Base!C67</f>
        <v/>
      </c>
      <c r="D23" s="7">
        <f>Otimista!C67</f>
        <v/>
      </c>
    </row>
    <row r="24">
      <c r="A24" s="3" t="inlineStr">
        <is>
          <t>LTV / CAC</t>
        </is>
      </c>
      <c r="B24" s="11">
        <f>Pessimista!C68</f>
        <v/>
      </c>
      <c r="C24" s="11">
        <f>Base!C68</f>
        <v/>
      </c>
      <c r="D24" s="11">
        <f>Otimista!C68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  <col width="13" customWidth="1" min="4" max="4"/>
    <col width="95" customWidth="1" min="5" max="5"/>
  </cols>
  <sheetData>
    <row r="1">
      <c r="A1" s="1" t="inlineStr">
        <is>
          <t>CICLO · Premissas (edite só as células azuis)</t>
        </is>
      </c>
    </row>
    <row r="2">
      <c r="A2" s="3" t="inlineStr">
        <is>
          <t>Azul = valor que você pode mudar. Preto = fórmula. Verde = vem de outra aba. [M] medido · [E] estimado · [P] preço público conferido em 28-30/09/2026 · [H] hipótese de funil a validar.</t>
        </is>
      </c>
    </row>
    <row r="4">
      <c r="A4" s="4" t="inlineStr">
        <is>
          <t>Premissa global</t>
        </is>
      </c>
      <c r="B4" s="4" t="inlineStr"/>
      <c r="C4" s="4" t="inlineStr">
        <is>
          <t>Valor</t>
        </is>
      </c>
      <c r="D4" s="4" t="inlineStr"/>
      <c r="E4" s="4" t="inlineStr">
        <is>
          <t>Fonte / nota</t>
        </is>
      </c>
    </row>
    <row r="5">
      <c r="A5" s="3" t="inlineStr">
        <is>
          <t>Câmbio (R$ por US$)</t>
        </is>
      </c>
      <c r="C5" s="12" t="n">
        <v>5.22</v>
      </c>
      <c r="E5" s="2" t="inlineStr">
        <is>
          <t>[P] cotação de 28/09/2026 (Bloomberg Línea / MoneyTimes). Faixa 52 semanas: 4,89 a 5,61</t>
        </is>
      </c>
    </row>
    <row r="6">
      <c r="A6" s="3" t="inlineStr">
        <is>
          <t>Preço Solo (R$/mês)</t>
        </is>
      </c>
      <c r="C6" s="13" t="n">
        <v>49</v>
      </c>
      <c r="E6" s="2" t="inlineStr">
        <is>
          <t>docs/87 D2: 1 profissional, tudo incluído</t>
        </is>
      </c>
    </row>
    <row r="7">
      <c r="A7" s="3" t="inlineStr">
        <is>
          <t>Preço Equipe (R$/mês)</t>
        </is>
      </c>
      <c r="C7" s="13" t="n">
        <v>99</v>
      </c>
      <c r="E7" s="2" t="inlineStr">
        <is>
          <t>docs/87 D2: até 5 profissionais, tudo incluído</t>
        </is>
      </c>
    </row>
    <row r="8">
      <c r="A8" s="3" t="inlineStr">
        <is>
          <t>% das assinaturas pagas no cartão (Mercado Pago preapproval)</t>
        </is>
      </c>
      <c r="C8" s="14" t="n">
        <v>0.9</v>
      </c>
      <c r="E8" s="2" t="inlineStr">
        <is>
          <t>[E] o código usa preapproval (recorrência no cartão). O resto vai por Pix</t>
        </is>
      </c>
    </row>
    <row r="9">
      <c r="A9" s="3" t="inlineStr">
        <is>
          <t>Taxa efetiva do cartão recorrente</t>
        </is>
      </c>
      <c r="C9" s="14" t="n">
        <v>0.04</v>
      </c>
      <c r="E9" s="2" t="inlineStr">
        <is>
          <t>[E] NÃO verificado: a tabela oficial do Mercado Pago bloqueou a leitura. Fontes de terceiros dizem 2% a 5%. Conferir no painel quando a conta CNPJ existir</t>
        </is>
      </c>
    </row>
    <row r="10">
      <c r="A10" s="3" t="inlineStr">
        <is>
          <t>Taxa do Pix</t>
        </is>
      </c>
      <c r="C10" s="15" t="n">
        <v>0.009900000000000001</v>
      </c>
      <c r="E10" s="2" t="inlineStr">
        <is>
          <t>[P] Mercado Pago, 0,99% (0,49% acima de R$ 15 mil/mês em CNPJ novo)</t>
        </is>
      </c>
    </row>
    <row r="11">
      <c r="A11" s="3" t="inlineStr">
        <is>
          <t>Imposto em % (0 enquanto MEI)</t>
        </is>
      </c>
      <c r="C11" s="14" t="n">
        <v>0</v>
      </c>
      <c r="E11" s="2" t="inlineStr">
        <is>
          <t>Ao virar ME: 6% (Anexo III) ou 15,5% (Anexo V); contador confirma</t>
        </is>
      </c>
    </row>
    <row r="12">
      <c r="A12" s="3" t="inlineStr">
        <is>
          <t>Supabase Pro (US$/mês, inclui US$ 10 de crédito de computação)</t>
        </is>
      </c>
      <c r="C12" s="16" t="n">
        <v>25</v>
      </c>
      <c r="E12" s="2" t="inlineStr">
        <is>
          <t>[P] supabase.com/pricing: a partir de US$ 25. 8 GB de banco, 250 GB de saída, backup de 7 dias</t>
        </is>
      </c>
    </row>
    <row r="13">
      <c r="A13" s="3" t="inlineStr">
        <is>
          <t>Vercel Pro (US$/mês por usuário)</t>
        </is>
      </c>
      <c r="C13" s="16" t="n">
        <v>20</v>
      </c>
      <c r="E13" s="2" t="inlineStr">
        <is>
          <t>[P] vercel.com/pricing. Inclui US$ 20 de crédito de uso. 1 usuário (você)</t>
        </is>
      </c>
    </row>
    <row r="14">
      <c r="A14" s="3" t="inlineStr">
        <is>
          <t>Crédito de uso incluído na Vercel Pro (US$)</t>
        </is>
      </c>
      <c r="C14" s="16" t="n">
        <v>20</v>
      </c>
      <c r="E14" s="2" t="inlineStr">
        <is>
          <t>[P] vercel.com/pricing</t>
        </is>
      </c>
    </row>
    <row r="15">
      <c r="A15" s="3" t="inlineStr">
        <is>
          <t>Uso Vercel por conta (US$/mês)</t>
        </is>
      </c>
      <c r="C15" s="17">
        <f>Infra!C12</f>
        <v/>
      </c>
      <c r="E15" s="2" t="inlineStr">
        <is>
          <t>Vem da aba Infra (requisições x CPU x preço)</t>
        </is>
      </c>
    </row>
    <row r="16">
      <c r="A16" s="3" t="inlineStr">
        <is>
          <t>DAS do MEI (R$/mês). Vira contador + 6% só ao passar de ~100 pagantes</t>
        </is>
      </c>
      <c r="C16" s="13" t="n">
        <v>86.05</v>
      </c>
      <c r="E16" s="2" t="inlineStr">
        <is>
          <t>[P] Receita: R$ 86,05 (serviços, 2026). Teto MEI R$ 81 mil/ano (~110 pagantes)</t>
        </is>
      </c>
    </row>
    <row r="17">
      <c r="A17" s="3" t="inlineStr">
        <is>
          <t>Salário mínimo 2026 (R$)</t>
        </is>
      </c>
      <c r="C17" s="18" t="n">
        <v>1621</v>
      </c>
      <c r="E17" s="2" t="inlineStr">
        <is>
          <t>[E] confirmar. Base do pró-labore mínimo</t>
        </is>
      </c>
    </row>
    <row r="18">
      <c r="A18" s="3" t="inlineStr">
        <is>
          <t>INSS sobre o pró-labore (custo PESSOAL; 0 = não conta)</t>
        </is>
      </c>
      <c r="C18" s="14" t="n">
        <v>0</v>
      </c>
      <c r="E18" s="2" t="inlineStr">
        <is>
          <t>Fica em 0: é a sua contribuição, não custo do produto. Para ver o efeito, ponha 11% (11% de 1 salário mínimo = R$ 178)</t>
        </is>
      </c>
    </row>
    <row r="19">
      <c r="A19" s="3" t="inlineStr">
        <is>
          <t>Domínio seuciclo.com.br (R$/mês)</t>
        </is>
      </c>
      <c r="C19" s="19">
        <f>40/12</f>
        <v/>
      </c>
      <c r="E19" s="2" t="inlineStr">
        <is>
          <t>[E] cerca de R$ 40 por ano no registro.br</t>
        </is>
      </c>
    </row>
    <row r="20">
      <c r="A20" s="3" t="inlineStr">
        <is>
          <t>E-mail próprio do produto (R$/mês)</t>
        </is>
      </c>
      <c r="C20" s="13" t="n">
        <v>0</v>
      </c>
      <c r="E20" s="2" t="inlineStr">
        <is>
          <t>Fica em 0: dá para usar e-mail gratuito. Workspace custaria ~R$ 30</t>
        </is>
      </c>
    </row>
    <row r="21">
      <c r="A21" s="3" t="inlineStr">
        <is>
          <t>Resend Pro (US$/mês)</t>
        </is>
      </c>
      <c r="C21" s="16" t="n">
        <v>20</v>
      </c>
      <c r="E21" s="2" t="inlineStr">
        <is>
          <t>[P] resend.com/pricing: grátis até 3.000 e-mails/mês e 100/dia. Pro US$ 20 = 50.000</t>
        </is>
      </c>
    </row>
    <row r="22">
      <c r="A22" s="3" t="inlineStr">
        <is>
          <t>Contas a partir das quais o Resend grátis não basta</t>
        </is>
      </c>
      <c r="C22" s="20" t="n">
        <v>120</v>
      </c>
      <c r="E22" s="2" t="inlineStr">
        <is>
          <t>[E] ~25 e-mails por conta/mês contra o teto de 3.000</t>
        </is>
      </c>
    </row>
    <row r="23">
      <c r="A23" s="3" t="inlineStr">
        <is>
          <t>Sentry Team (US$/mês)</t>
        </is>
      </c>
      <c r="C23" s="16" t="n">
        <v>26</v>
      </c>
      <c r="E23" s="2" t="inlineStr">
        <is>
          <t>[P] sentry.io/pricing: grátis 5.000 erros/mês. Team US$ 26</t>
        </is>
      </c>
    </row>
    <row r="24">
      <c r="A24" s="3" t="inlineStr">
        <is>
          <t>Contas a partir das quais o Sentry grátis não basta</t>
        </is>
      </c>
      <c r="C24" s="20" t="n">
        <v>100</v>
      </c>
      <c r="E24" s="2" t="inlineStr">
        <is>
          <t>[E]</t>
        </is>
      </c>
    </row>
    <row r="25">
      <c r="A25" s="3" t="inlineStr">
        <is>
          <t>Contas até onde o Supabase Micro (incluso) aguenta</t>
        </is>
      </c>
      <c r="C25" s="20" t="n">
        <v>150</v>
      </c>
      <c r="E25" s="2" t="inlineStr">
        <is>
          <t>[E] sem teste de carga. Regra: subir quando CPU &gt; 70% ou cache &lt; 99%</t>
        </is>
      </c>
    </row>
    <row r="26">
      <c r="A26" s="3" t="inlineStr">
        <is>
          <t>Acréscimo ao passar para Small (US$/mês)</t>
        </is>
      </c>
      <c r="C26" s="16" t="n">
        <v>5</v>
      </c>
      <c r="E26" s="2" t="inlineStr">
        <is>
          <t>[P] Small ~US$ 15 menos o crédito de US$ 10</t>
        </is>
      </c>
    </row>
    <row r="27">
      <c r="A27" s="3" t="inlineStr">
        <is>
          <t>Contas até onde o Small aguenta</t>
        </is>
      </c>
      <c r="C27" s="20" t="n">
        <v>400</v>
      </c>
      <c r="E27" s="2" t="inlineStr">
        <is>
          <t>[E]</t>
        </is>
      </c>
    </row>
    <row r="28">
      <c r="A28" s="3" t="inlineStr">
        <is>
          <t>Acréscimo ao passar para Medium (US$/mês)</t>
        </is>
      </c>
      <c r="C28" s="16" t="n">
        <v>50</v>
      </c>
      <c r="E28" s="2" t="inlineStr">
        <is>
          <t>[P] Medium ~US$ 60 menos o crédito</t>
        </is>
      </c>
    </row>
    <row r="29">
      <c r="A29" s="3" t="inlineStr">
        <is>
          <t>Contas até onde o Medium aguenta</t>
        </is>
      </c>
      <c r="C29" s="20" t="n">
        <v>1000</v>
      </c>
      <c r="E29" s="2" t="inlineStr">
        <is>
          <t>[E]</t>
        </is>
      </c>
    </row>
    <row r="30">
      <c r="A30" s="3" t="inlineStr">
        <is>
          <t>Acréscimo ao passar para Large (US$/mês)</t>
        </is>
      </c>
      <c r="C30" s="16" t="n">
        <v>100</v>
      </c>
      <c r="E30" s="2" t="inlineStr">
        <is>
          <t>[P] Large ~US$ 110 menos o crédito</t>
        </is>
      </c>
    </row>
    <row r="31">
      <c r="A31" s="3" t="inlineStr">
        <is>
          <t>Custo em dinheiro por dia de prospecção (R$)</t>
        </is>
      </c>
      <c r="C31" s="13" t="n">
        <v>25</v>
      </c>
      <c r="E31" s="2" t="inlineStr">
        <is>
          <t>[E] transporte, estacionamento, café</t>
        </is>
      </c>
    </row>
    <row r="32">
      <c r="A32" s="3" t="inlineStr">
        <is>
          <t>Conteúdo e material por mês (R$)</t>
        </is>
      </c>
      <c r="C32" s="13" t="n">
        <v>0</v>
      </c>
      <c r="E32" s="2" t="inlineStr">
        <is>
          <t>Fica em 0: o material único já está em Investimento. Sem anúncio pago (docs/18 13.1)</t>
        </is>
      </c>
    </row>
    <row r="33">
      <c r="A33" s="3" t="inlineStr">
        <is>
          <t>Horas de rua por dia de prospecção</t>
        </is>
      </c>
      <c r="C33" s="21" t="n">
        <v>4</v>
      </c>
      <c r="E33" s="2" t="inlineStr">
        <is>
          <t>[E] custo de oportunidade, não sai do caixa</t>
        </is>
      </c>
    </row>
    <row r="34">
      <c r="A34" s="3" t="inlineStr">
        <is>
          <t>Valor da sua hora (R$)</t>
        </is>
      </c>
      <c r="C34" s="18" t="n">
        <v>50</v>
      </c>
      <c r="E34" s="2" t="inlineStr">
        <is>
          <t>docs/18 F.4</t>
        </is>
      </c>
    </row>
    <row r="35">
      <c r="A35" s="3" t="inlineStr">
        <is>
          <t>Horas de suporte por pagante por mês</t>
        </is>
      </c>
      <c r="C35" s="21" t="n">
        <v>0.5</v>
      </c>
      <c r="E35" s="2" t="inlineStr">
        <is>
          <t>docs/18 F.4. Com 1 hora, o Solo dá prejuízo</t>
        </is>
      </c>
    </row>
    <row r="36">
      <c r="A36" s="3" t="inlineStr">
        <is>
          <t>Horas para pôr uma conta nova no ar</t>
        </is>
      </c>
      <c r="C36" s="21" t="n">
        <v>1.5</v>
      </c>
      <c r="E36" s="2" t="inlineStr">
        <is>
          <t>[E] importar a base pelo WhatsApp e explicar (docs/87)</t>
        </is>
      </c>
    </row>
    <row r="37">
      <c r="A37" s="3" t="inlineStr">
        <is>
          <t>Único: abertura (R$)</t>
        </is>
      </c>
      <c r="C37" s="18" t="n">
        <v>0</v>
      </c>
      <c r="E37" s="2" t="inlineStr">
        <is>
          <t>Cortado: já tem CNPJ</t>
        </is>
      </c>
    </row>
    <row r="38">
      <c r="A38" s="3" t="inlineStr">
        <is>
          <t>Único: marca (R$)</t>
        </is>
      </c>
      <c r="C38" s="18" t="n">
        <v>0</v>
      </c>
      <c r="E38" s="2" t="inlineStr">
        <is>
          <t>Cortado</t>
        </is>
      </c>
    </row>
    <row r="39">
      <c r="A39" s="3" t="inlineStr">
        <is>
          <t>Único: advogado (R$)</t>
        </is>
      </c>
      <c r="C39" s="18" t="n">
        <v>0</v>
      </c>
      <c r="E39" s="2" t="inlineStr">
        <is>
          <t>Cortado</t>
        </is>
      </c>
    </row>
    <row r="40">
      <c r="A40" s="3" t="inlineStr">
        <is>
          <t>Único: material (R$)</t>
        </is>
      </c>
      <c r="C40" s="18" t="n">
        <v>0</v>
      </c>
      <c r="E40" s="2" t="inlineStr">
        <is>
          <t>Cortado</t>
        </is>
      </c>
    </row>
    <row r="41">
      <c r="A41" s="3" t="inlineStr">
        <is>
          <t>Contas convidadas no 1o mês</t>
        </is>
      </c>
      <c r="C41" s="20" t="n">
        <v>0</v>
      </c>
      <c r="E41" s="2" t="inlineStr">
        <is>
          <t>Cortado: prospecta desde já</t>
        </is>
      </c>
    </row>
    <row r="42">
      <c r="A42" s="3" t="inlineStr">
        <is>
          <t>Teto de contas de cortesia até o lançamento (D4)</t>
        </is>
      </c>
      <c r="C42" s="20" t="n">
        <v>40</v>
      </c>
      <c r="E42" s="2" t="inlineStr">
        <is>
          <t>docs/87 D4. Inclui o alpha</t>
        </is>
      </c>
    </row>
    <row r="43">
      <c r="A43" s="3" t="inlineStr">
        <is>
          <t>Contas novas por mês que você aguenta atender depois do lançamento</t>
        </is>
      </c>
      <c r="C43" s="20" t="n">
        <v>40</v>
      </c>
      <c r="E43" s="2" t="inlineStr">
        <is>
          <t>[E] gargalo de suporte (docs/87 D4)</t>
        </is>
      </c>
    </row>
    <row r="44">
      <c r="A44" s="3" t="inlineStr">
        <is>
          <t>Abordagens qualificadas por dia de rua</t>
        </is>
      </c>
      <c r="C44" s="20" t="n">
        <v>12</v>
      </c>
      <c r="E44" s="2" t="inlineStr">
        <is>
          <t>[E] dono presente, salão de 1 a 3 profissionais. Ver aba Metas</t>
        </is>
      </c>
    </row>
    <row r="46">
      <c r="A46" s="4" t="inlineStr">
        <is>
          <t>Premissa por cenário</t>
        </is>
      </c>
      <c r="B46" s="4" t="inlineStr">
        <is>
          <t>Pessimista</t>
        </is>
      </c>
      <c r="C46" s="4" t="inlineStr">
        <is>
          <t>Base</t>
        </is>
      </c>
      <c r="D46" s="4" t="inlineStr">
        <is>
          <t>Otimista</t>
        </is>
      </c>
      <c r="E46" s="4" t="inlineStr">
        <is>
          <t>Fonte / nota</t>
        </is>
      </c>
    </row>
    <row r="47">
      <c r="A47" s="3" t="inlineStr">
        <is>
          <t>Dono aceita conversar de verdade (5 min ou mais)</t>
        </is>
      </c>
      <c r="B47" s="14" t="n">
        <v>0.4</v>
      </c>
      <c r="C47" s="14" t="n">
        <v>0.55</v>
      </c>
      <c r="D47" s="14" t="n">
        <v>0.7</v>
      </c>
      <c r="E47" s="2" t="inlineStr">
        <is>
          <t>[H] das abordagens. Porta fechada, cliente na cadeira e dono ausente contam como não</t>
        </is>
      </c>
    </row>
    <row r="48">
      <c r="A48" s="3" t="inlineStr">
        <is>
          <t>Cria a conta na hora ou em 48 h</t>
        </is>
      </c>
      <c r="B48" s="14" t="n">
        <v>0.2</v>
      </c>
      <c r="C48" s="14" t="n">
        <v>0.3</v>
      </c>
      <c r="D48" s="14" t="n">
        <v>0.4</v>
      </c>
      <c r="E48" s="2" t="inlineStr">
        <is>
          <t>[H] das conversas. Ajuda: 2 meses grátis, sem cartão, cadastro assistido no celular dele</t>
        </is>
      </c>
    </row>
    <row r="49">
      <c r="A49" s="3" t="inlineStr">
        <is>
          <t>Ativa: importa a base e chama alguém em 14 dias</t>
        </is>
      </c>
      <c r="B49" s="14" t="n">
        <v>0.45</v>
      </c>
      <c r="C49" s="14" t="n">
        <v>0.55</v>
      </c>
      <c r="D49" s="14" t="n">
        <v>0.65</v>
      </c>
      <c r="E49" s="2" t="inlineStr">
        <is>
          <t>[H] docs/87 §5: 60% importam em 7 dias, 50% chamam em 14</t>
        </is>
      </c>
    </row>
    <row r="50">
      <c r="A50" s="3" t="inlineStr">
        <is>
          <t>Vira pagante no lançamento (das contas criadas)</t>
        </is>
      </c>
      <c r="B50" s="14" t="n">
        <v>0.08</v>
      </c>
      <c r="C50" s="14" t="n">
        <v>0.15</v>
      </c>
      <c r="D50" s="14" t="n">
        <v>0.25</v>
      </c>
      <c r="E50" s="2" t="inlineStr">
        <is>
          <t>[P] teste sem cartão: mediana 14%, faixa 8% a 22% (Userpilot, First Page Sage, ShNo 2026)</t>
        </is>
      </c>
    </row>
    <row r="51">
      <c r="A51" s="3" t="inlineStr">
        <is>
          <t>Cancelamento mensal de quem paga</t>
        </is>
      </c>
      <c r="B51" s="14" t="n">
        <v>0.06</v>
      </c>
      <c r="C51" s="14" t="n">
        <v>0.04</v>
      </c>
      <c r="D51" s="14" t="n">
        <v>0.025</v>
      </c>
      <c r="E51" s="2" t="inlineStr">
        <is>
          <t>[P] SaaS para pequena empresa: 3% a 5% ao mês, média 4,5% (RetentionCheck 2026)</t>
        </is>
      </c>
    </row>
    <row r="52">
      <c r="A52" s="3" t="inlineStr">
        <is>
          <t>% dos pagantes no plano Solo</t>
        </is>
      </c>
      <c r="B52" s="14" t="n">
        <v>0.8</v>
      </c>
      <c r="C52" s="14" t="n">
        <v>0.75</v>
      </c>
      <c r="D52" s="14" t="n">
        <v>0.65</v>
      </c>
      <c r="E52" s="2" t="inlineStr">
        <is>
          <t>[H] barbearia e salão pequeno: maioria com 1 profissional</t>
        </is>
      </c>
    </row>
    <row r="53">
      <c r="A53" s="3" t="inlineStr">
        <is>
          <t>Contas novas que cada pagante traz por mês</t>
        </is>
      </c>
      <c r="B53" s="12" t="n">
        <v>0.02</v>
      </c>
      <c r="C53" s="12" t="n">
        <v>0.05</v>
      </c>
      <c r="D53" s="12" t="n">
        <v>0.1</v>
      </c>
      <c r="E53" s="2" t="inlineStr">
        <is>
          <t>[H] barbeiro conhece barbeiro (docs/56). Zero antes de ter pagante</t>
        </is>
      </c>
    </row>
    <row r="54">
      <c r="A54" s="3" t="inlineStr">
        <is>
          <t>Contas novas por mês de parceiro, conteúdo e busca (só após o lançamento)</t>
        </is>
      </c>
      <c r="B54" s="20" t="n">
        <v>0</v>
      </c>
      <c r="C54" s="20" t="n">
        <v>6</v>
      </c>
      <c r="D54" s="20" t="n">
        <v>20</v>
      </c>
      <c r="E54" s="2" t="inlineStr">
        <is>
          <t>[H] distribuidora, escola de barbeiro, Instagram (docs/18 G.1)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CICLO · Calendário (docs/87: alpha 26/10, pública 09/11, cortesia até 12/12, oficial 11/01/2027)</t>
        </is>
      </c>
    </row>
    <row r="4">
      <c r="A4" s="4" t="inlineStr">
        <is>
          <t>Item</t>
        </is>
      </c>
      <c r="B4" s="4" t="inlineStr">
        <is>
          <t>Unidade</t>
        </is>
      </c>
      <c r="C4" s="22" t="inlineStr">
        <is>
          <t>Out/26</t>
        </is>
      </c>
      <c r="D4" s="22" t="inlineStr">
        <is>
          <t>Nov/26</t>
        </is>
      </c>
      <c r="E4" s="22" t="inlineStr">
        <is>
          <t>Dez/26</t>
        </is>
      </c>
      <c r="F4" s="22" t="inlineStr">
        <is>
          <t>Jan/27</t>
        </is>
      </c>
      <c r="G4" s="22" t="inlineStr">
        <is>
          <t>Fev/27</t>
        </is>
      </c>
      <c r="H4" s="22" t="inlineStr">
        <is>
          <t>Mar/27</t>
        </is>
      </c>
      <c r="I4" s="22" t="inlineStr">
        <is>
          <t>Abr/27</t>
        </is>
      </c>
      <c r="J4" s="22" t="inlineStr">
        <is>
          <t>Mai/27</t>
        </is>
      </c>
      <c r="K4" s="22" t="inlineStr">
        <is>
          <t>Jun/27</t>
        </is>
      </c>
      <c r="L4" s="22" t="inlineStr">
        <is>
          <t>Jul/27</t>
        </is>
      </c>
      <c r="M4" s="22" t="inlineStr">
        <is>
          <t>Ago/27</t>
        </is>
      </c>
      <c r="N4" s="22" t="inlineStr">
        <is>
          <t>Set/27</t>
        </is>
      </c>
      <c r="O4" s="22" t="inlineStr">
        <is>
          <t>Out/27</t>
        </is>
      </c>
      <c r="P4" s="22" t="inlineStr">
        <is>
          <t>Nov/27</t>
        </is>
      </c>
      <c r="Q4" s="22" t="inlineStr">
        <is>
          <t>Dez/27</t>
        </is>
      </c>
      <c r="R4" s="22" t="inlineStr">
        <is>
          <t>Jan/28</t>
        </is>
      </c>
      <c r="S4" s="22" t="inlineStr">
        <is>
          <t>Fev/28</t>
        </is>
      </c>
      <c r="T4" s="22" t="inlineStr">
        <is>
          <t>Mar/28</t>
        </is>
      </c>
      <c r="U4" s="22" t="inlineStr">
        <is>
          <t>Abr/28</t>
        </is>
      </c>
      <c r="V4" s="22" t="inlineStr">
        <is>
          <t>Mai/28</t>
        </is>
      </c>
      <c r="W4" s="22" t="inlineStr">
        <is>
          <t>Jun/28</t>
        </is>
      </c>
      <c r="X4" s="22" t="inlineStr">
        <is>
          <t>Jul/28</t>
        </is>
      </c>
      <c r="Y4" s="22" t="inlineStr">
        <is>
          <t>Ago/28</t>
        </is>
      </c>
      <c r="Z4" s="22" t="inlineStr">
        <is>
          <t>Set/28</t>
        </is>
      </c>
      <c r="AA4" s="22" t="inlineStr">
        <is>
          <t>Out/28</t>
        </is>
      </c>
      <c r="AB4" s="22" t="inlineStr">
        <is>
          <t>Nov/28</t>
        </is>
      </c>
      <c r="AC4" s="22" t="inlineStr">
        <is>
          <t>Dez/28</t>
        </is>
      </c>
    </row>
    <row r="5">
      <c r="A5" s="3" t="inlineStr">
        <is>
          <t>Data</t>
        </is>
      </c>
      <c r="C5" s="3" t="inlineStr">
        <is>
          <t>2026-10-01</t>
        </is>
      </c>
      <c r="D5" s="3" t="inlineStr">
        <is>
          <t>2026-11-01</t>
        </is>
      </c>
      <c r="E5" s="3" t="inlineStr">
        <is>
          <t>2026-12-01</t>
        </is>
      </c>
      <c r="F5" s="3" t="inlineStr">
        <is>
          <t>2027-01-01</t>
        </is>
      </c>
      <c r="G5" s="3" t="inlineStr">
        <is>
          <t>2027-02-01</t>
        </is>
      </c>
      <c r="H5" s="3" t="inlineStr">
        <is>
          <t>2027-03-01</t>
        </is>
      </c>
      <c r="I5" s="3" t="inlineStr">
        <is>
          <t>2027-04-01</t>
        </is>
      </c>
      <c r="J5" s="3" t="inlineStr">
        <is>
          <t>2027-05-01</t>
        </is>
      </c>
      <c r="K5" s="3" t="inlineStr">
        <is>
          <t>2027-06-01</t>
        </is>
      </c>
      <c r="L5" s="3" t="inlineStr">
        <is>
          <t>2027-07-01</t>
        </is>
      </c>
      <c r="M5" s="3" t="inlineStr">
        <is>
          <t>2027-08-01</t>
        </is>
      </c>
      <c r="N5" s="3" t="inlineStr">
        <is>
          <t>2027-09-01</t>
        </is>
      </c>
      <c r="O5" s="3" t="inlineStr">
        <is>
          <t>2027-10-01</t>
        </is>
      </c>
      <c r="P5" s="3" t="inlineStr">
        <is>
          <t>2027-11-01</t>
        </is>
      </c>
      <c r="Q5" s="3" t="inlineStr">
        <is>
          <t>2027-12-01</t>
        </is>
      </c>
      <c r="R5" s="3" t="inlineStr">
        <is>
          <t>2028-01-01</t>
        </is>
      </c>
      <c r="S5" s="3" t="inlineStr">
        <is>
          <t>2028-02-01</t>
        </is>
      </c>
      <c r="T5" s="3" t="inlineStr">
        <is>
          <t>2028-03-01</t>
        </is>
      </c>
      <c r="U5" s="3" t="inlineStr">
        <is>
          <t>2028-04-01</t>
        </is>
      </c>
      <c r="V5" s="3" t="inlineStr">
        <is>
          <t>2028-05-01</t>
        </is>
      </c>
      <c r="W5" s="3" t="inlineStr">
        <is>
          <t>2028-06-01</t>
        </is>
      </c>
      <c r="X5" s="3" t="inlineStr">
        <is>
          <t>2028-07-01</t>
        </is>
      </c>
      <c r="Y5" s="3" t="inlineStr">
        <is>
          <t>2028-08-01</t>
        </is>
      </c>
      <c r="Z5" s="3" t="inlineStr">
        <is>
          <t>2028-09-01</t>
        </is>
      </c>
      <c r="AA5" s="3" t="inlineStr">
        <is>
          <t>2028-10-01</t>
        </is>
      </c>
      <c r="AB5" s="3" t="inlineStr">
        <is>
          <t>2028-11-01</t>
        </is>
      </c>
      <c r="AC5" s="3" t="inlineStr">
        <is>
          <t>2028-12-01</t>
        </is>
      </c>
    </row>
    <row r="6" ht="44" customHeight="1">
      <c r="A6" s="3" t="inlineStr">
        <is>
          <t>Fase</t>
        </is>
      </c>
      <c r="C6" s="2" t="inlineStr">
        <is>
          <t>Alpha (até 10 contas)</t>
        </is>
      </c>
      <c r="D6" s="2" t="inlineStr">
        <is>
          <t>Janela pública (ondas)</t>
        </is>
      </c>
      <c r="E6" s="2" t="inlineStr">
        <is>
          <t>Cortesia; sem cobrança</t>
        </is>
      </c>
      <c r="F6" s="2" t="inlineStr">
        <is>
          <t>Lançamento oficial 11/01</t>
        </is>
      </c>
      <c r="G6" s="2" t="inlineStr">
        <is>
          <t>Pós-lançamento</t>
        </is>
      </c>
      <c r="H6" s="2" t="inlineStr">
        <is>
          <t>Pós-lançamento</t>
        </is>
      </c>
      <c r="I6" s="2" t="inlineStr">
        <is>
          <t>Pós-lançamento</t>
        </is>
      </c>
      <c r="J6" s="2" t="inlineStr">
        <is>
          <t>Pós-lançamento</t>
        </is>
      </c>
      <c r="K6" s="2" t="inlineStr">
        <is>
          <t>Pós-lançamento</t>
        </is>
      </c>
      <c r="L6" s="2" t="inlineStr">
        <is>
          <t>Pós-lançamento</t>
        </is>
      </c>
      <c r="M6" s="2" t="inlineStr">
        <is>
          <t>Pós-lançamento</t>
        </is>
      </c>
      <c r="N6" s="2" t="inlineStr">
        <is>
          <t>Pós-lançamento</t>
        </is>
      </c>
      <c r="O6" s="2" t="inlineStr">
        <is>
          <t>Pós-lançamento</t>
        </is>
      </c>
      <c r="P6" s="2" t="inlineStr">
        <is>
          <t>Pós-lançamento</t>
        </is>
      </c>
      <c r="Q6" s="2" t="inlineStr">
        <is>
          <t>Pós-lançamento</t>
        </is>
      </c>
      <c r="R6" s="2" t="inlineStr">
        <is>
          <t>Pós-lançamento</t>
        </is>
      </c>
      <c r="S6" s="2" t="inlineStr">
        <is>
          <t>Pós-lançamento</t>
        </is>
      </c>
      <c r="T6" s="2" t="inlineStr">
        <is>
          <t>Pós-lançamento</t>
        </is>
      </c>
      <c r="U6" s="2" t="inlineStr">
        <is>
          <t>Pós-lançamento</t>
        </is>
      </c>
      <c r="V6" s="2" t="inlineStr">
        <is>
          <t>Pós-lançamento</t>
        </is>
      </c>
      <c r="W6" s="2" t="inlineStr">
        <is>
          <t>Pós-lançamento</t>
        </is>
      </c>
      <c r="X6" s="2" t="inlineStr">
        <is>
          <t>Pós-lançamento</t>
        </is>
      </c>
      <c r="Y6" s="2" t="inlineStr">
        <is>
          <t>Pós-lançamento</t>
        </is>
      </c>
      <c r="Z6" s="2" t="inlineStr">
        <is>
          <t>Pós-lançamento</t>
        </is>
      </c>
      <c r="AA6" s="2" t="inlineStr">
        <is>
          <t>Pós-lançamento</t>
        </is>
      </c>
      <c r="AB6" s="2" t="inlineStr">
        <is>
          <t>Pós-lançamento</t>
        </is>
      </c>
      <c r="AC6" s="2" t="inlineStr">
        <is>
          <t>Pós-lançamento</t>
        </is>
      </c>
    </row>
    <row r="7">
      <c r="A7" s="3" t="inlineStr">
        <is>
          <t>Dias de rua no mês</t>
        </is>
      </c>
      <c r="B7" s="3" t="inlineStr">
        <is>
          <t>dias</t>
        </is>
      </c>
      <c r="C7" s="20" t="n">
        <v>20</v>
      </c>
      <c r="D7" s="20" t="n">
        <v>20</v>
      </c>
      <c r="E7" s="20" t="n">
        <v>14</v>
      </c>
      <c r="F7" s="20" t="n">
        <v>20</v>
      </c>
      <c r="G7" s="20" t="n">
        <v>20</v>
      </c>
      <c r="H7" s="20" t="n">
        <v>20</v>
      </c>
      <c r="I7" s="20" t="n">
        <v>20</v>
      </c>
      <c r="J7" s="20" t="n">
        <v>20</v>
      </c>
      <c r="K7" s="20" t="n">
        <v>20</v>
      </c>
      <c r="L7" s="20" t="n">
        <v>20</v>
      </c>
      <c r="M7" s="20" t="n">
        <v>20</v>
      </c>
      <c r="N7" s="20" t="n">
        <v>20</v>
      </c>
      <c r="O7" s="20" t="n">
        <v>20</v>
      </c>
      <c r="P7" s="20" t="n">
        <v>20</v>
      </c>
      <c r="Q7" s="20" t="n">
        <v>14</v>
      </c>
      <c r="R7" s="20" t="n">
        <v>20</v>
      </c>
      <c r="S7" s="20" t="n">
        <v>20</v>
      </c>
      <c r="T7" s="20" t="n">
        <v>20</v>
      </c>
      <c r="U7" s="20" t="n">
        <v>20</v>
      </c>
      <c r="V7" s="20" t="n">
        <v>20</v>
      </c>
      <c r="W7" s="20" t="n">
        <v>20</v>
      </c>
      <c r="X7" s="20" t="n">
        <v>20</v>
      </c>
      <c r="Y7" s="20" t="n">
        <v>20</v>
      </c>
      <c r="Z7" s="20" t="n">
        <v>20</v>
      </c>
      <c r="AA7" s="20" t="n">
        <v>20</v>
      </c>
      <c r="AB7" s="20" t="n">
        <v>20</v>
      </c>
      <c r="AC7" s="20" t="n">
        <v>14</v>
      </c>
    </row>
    <row r="8">
      <c r="A8" s="3" t="inlineStr">
        <is>
          <t>Depois do lançamento (1 = sim)</t>
        </is>
      </c>
      <c r="C8" s="20" t="n">
        <v>1</v>
      </c>
      <c r="D8" s="20" t="n">
        <v>1</v>
      </c>
      <c r="E8" s="20" t="n">
        <v>1</v>
      </c>
      <c r="F8" s="20" t="n">
        <v>1</v>
      </c>
      <c r="G8" s="20" t="n">
        <v>1</v>
      </c>
      <c r="H8" s="20" t="n">
        <v>1</v>
      </c>
      <c r="I8" s="20" t="n">
        <v>1</v>
      </c>
      <c r="J8" s="20" t="n">
        <v>1</v>
      </c>
      <c r="K8" s="20" t="n">
        <v>1</v>
      </c>
      <c r="L8" s="20" t="n">
        <v>1</v>
      </c>
      <c r="M8" s="20" t="n">
        <v>1</v>
      </c>
      <c r="N8" s="20" t="n">
        <v>1</v>
      </c>
      <c r="O8" s="20" t="n">
        <v>1</v>
      </c>
      <c r="P8" s="20" t="n">
        <v>1</v>
      </c>
      <c r="Q8" s="20" t="n">
        <v>1</v>
      </c>
      <c r="R8" s="20" t="n">
        <v>1</v>
      </c>
      <c r="S8" s="20" t="n">
        <v>1</v>
      </c>
      <c r="T8" s="20" t="n">
        <v>1</v>
      </c>
      <c r="U8" s="20" t="n">
        <v>1</v>
      </c>
      <c r="V8" s="20" t="n">
        <v>1</v>
      </c>
      <c r="W8" s="20" t="n">
        <v>1</v>
      </c>
      <c r="X8" s="20" t="n">
        <v>1</v>
      </c>
      <c r="Y8" s="20" t="n">
        <v>1</v>
      </c>
      <c r="Z8" s="20" t="n">
        <v>1</v>
      </c>
      <c r="AA8" s="20" t="n">
        <v>1</v>
      </c>
      <c r="AB8" s="20" t="n">
        <v>1</v>
      </c>
      <c r="AC8" s="20" t="n">
        <v>1</v>
      </c>
    </row>
    <row r="9">
      <c r="A9" s="3" t="inlineStr">
        <is>
          <t>Mês do lançamento (1 = sim)</t>
        </is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</row>
    <row r="10">
      <c r="A10" s="3" t="inlineStr">
        <is>
          <t>Primeiro mês (1 = sim)</t>
        </is>
      </c>
      <c r="C10" s="20" t="n">
        <v>1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</row>
    <row r="11">
      <c r="A11" s="3" t="inlineStr">
        <is>
          <t>Parceiros e conteúdo ativos (1 = sim)</t>
        </is>
      </c>
      <c r="C11" s="23">
        <f>C8</f>
        <v/>
      </c>
      <c r="D11" s="23">
        <f>D8</f>
        <v/>
      </c>
      <c r="E11" s="23">
        <f>E8</f>
        <v/>
      </c>
      <c r="F11" s="23">
        <f>F8</f>
        <v/>
      </c>
      <c r="G11" s="23">
        <f>G8</f>
        <v/>
      </c>
      <c r="H11" s="23">
        <f>H8</f>
        <v/>
      </c>
      <c r="I11" s="23">
        <f>I8</f>
        <v/>
      </c>
      <c r="J11" s="23">
        <f>J8</f>
        <v/>
      </c>
      <c r="K11" s="23">
        <f>K8</f>
        <v/>
      </c>
      <c r="L11" s="23">
        <f>L8</f>
        <v/>
      </c>
      <c r="M11" s="23">
        <f>M8</f>
        <v/>
      </c>
      <c r="N11" s="23">
        <f>N8</f>
        <v/>
      </c>
      <c r="O11" s="23">
        <f>O8</f>
        <v/>
      </c>
      <c r="P11" s="23">
        <f>P8</f>
        <v/>
      </c>
      <c r="Q11" s="23">
        <f>Q8</f>
        <v/>
      </c>
      <c r="R11" s="23">
        <f>R8</f>
        <v/>
      </c>
      <c r="S11" s="23">
        <f>S8</f>
        <v/>
      </c>
      <c r="T11" s="23">
        <f>T8</f>
        <v/>
      </c>
      <c r="U11" s="23">
        <f>U8</f>
        <v/>
      </c>
      <c r="V11" s="23">
        <f>V8</f>
        <v/>
      </c>
      <c r="W11" s="23">
        <f>W8</f>
        <v/>
      </c>
      <c r="X11" s="23">
        <f>X8</f>
        <v/>
      </c>
      <c r="Y11" s="23">
        <f>Y8</f>
        <v/>
      </c>
      <c r="Z11" s="23">
        <f>Z8</f>
        <v/>
      </c>
      <c r="AA11" s="23">
        <f>AA8</f>
        <v/>
      </c>
      <c r="AB11" s="23">
        <f>AB8</f>
        <v/>
      </c>
      <c r="AC11" s="23">
        <f>AC8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CICLO · Projeção mês a mês · cenário Pessimista</t>
        </is>
      </c>
    </row>
    <row r="2">
      <c r="A2" s="3" t="inlineStr">
        <is>
          <t>Tudo aqui é fórmula. Mude as premissas na aba Premissas e no Calendário.</t>
        </is>
      </c>
    </row>
    <row r="4">
      <c r="A4" s="4" t="inlineStr">
        <is>
          <t>Linha</t>
        </is>
      </c>
      <c r="B4" s="4" t="inlineStr">
        <is>
          <t>Unid.</t>
        </is>
      </c>
      <c r="C4" s="4" t="inlineStr">
        <is>
          <t>Out/26</t>
        </is>
      </c>
      <c r="D4" s="4" t="inlineStr">
        <is>
          <t>Nov/26</t>
        </is>
      </c>
      <c r="E4" s="4" t="inlineStr">
        <is>
          <t>Dez/26</t>
        </is>
      </c>
      <c r="F4" s="4" t="inlineStr">
        <is>
          <t>Jan/27</t>
        </is>
      </c>
      <c r="G4" s="4" t="inlineStr">
        <is>
          <t>Fev/27</t>
        </is>
      </c>
      <c r="H4" s="4" t="inlineStr">
        <is>
          <t>Mar/27</t>
        </is>
      </c>
      <c r="I4" s="4" t="inlineStr">
        <is>
          <t>Abr/27</t>
        </is>
      </c>
      <c r="J4" s="4" t="inlineStr">
        <is>
          <t>Mai/27</t>
        </is>
      </c>
      <c r="K4" s="4" t="inlineStr">
        <is>
          <t>Jun/27</t>
        </is>
      </c>
      <c r="L4" s="4" t="inlineStr">
        <is>
          <t>Jul/27</t>
        </is>
      </c>
      <c r="M4" s="4" t="inlineStr">
        <is>
          <t>Ago/27</t>
        </is>
      </c>
      <c r="N4" s="4" t="inlineStr">
        <is>
          <t>Set/27</t>
        </is>
      </c>
      <c r="O4" s="4" t="inlineStr">
        <is>
          <t>Out/27</t>
        </is>
      </c>
      <c r="P4" s="4" t="inlineStr">
        <is>
          <t>Nov/27</t>
        </is>
      </c>
      <c r="Q4" s="4" t="inlineStr">
        <is>
          <t>Dez/27</t>
        </is>
      </c>
      <c r="R4" s="4" t="inlineStr">
        <is>
          <t>Jan/28</t>
        </is>
      </c>
      <c r="S4" s="4" t="inlineStr">
        <is>
          <t>Fev/28</t>
        </is>
      </c>
      <c r="T4" s="4" t="inlineStr">
        <is>
          <t>Mar/28</t>
        </is>
      </c>
      <c r="U4" s="4" t="inlineStr">
        <is>
          <t>Abr/28</t>
        </is>
      </c>
      <c r="V4" s="4" t="inlineStr">
        <is>
          <t>Mai/28</t>
        </is>
      </c>
      <c r="W4" s="4" t="inlineStr">
        <is>
          <t>Jun/28</t>
        </is>
      </c>
      <c r="X4" s="4" t="inlineStr">
        <is>
          <t>Jul/28</t>
        </is>
      </c>
      <c r="Y4" s="4" t="inlineStr">
        <is>
          <t>Ago/28</t>
        </is>
      </c>
      <c r="Z4" s="4" t="inlineStr">
        <is>
          <t>Set/28</t>
        </is>
      </c>
      <c r="AA4" s="4" t="inlineStr">
        <is>
          <t>Out/28</t>
        </is>
      </c>
      <c r="AB4" s="4" t="inlineStr">
        <is>
          <t>Nov/28</t>
        </is>
      </c>
      <c r="AC4" s="4" t="inlineStr">
        <is>
          <t>Dez/28</t>
        </is>
      </c>
    </row>
    <row r="5">
      <c r="A5" s="24" t="inlineStr">
        <is>
          <t>Prospecção e contas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 ht="40" customHeight="1">
      <c r="A6" s="3" t="inlineStr">
        <is>
          <t>Fase</t>
        </is>
      </c>
      <c r="B6" s="3" t="inlineStr"/>
      <c r="C6" s="2">
        <f>Calendario!C6</f>
        <v/>
      </c>
      <c r="D6" s="2">
        <f>Calendario!D6</f>
        <v/>
      </c>
      <c r="E6" s="2">
        <f>Calendario!E6</f>
        <v/>
      </c>
      <c r="F6" s="2">
        <f>Calendario!F6</f>
        <v/>
      </c>
      <c r="G6" s="2">
        <f>Calendario!G6</f>
        <v/>
      </c>
      <c r="H6" s="2">
        <f>Calendario!H6</f>
        <v/>
      </c>
      <c r="I6" s="2">
        <f>Calendario!I6</f>
        <v/>
      </c>
      <c r="J6" s="2">
        <f>Calendario!J6</f>
        <v/>
      </c>
      <c r="K6" s="2">
        <f>Calendario!K6</f>
        <v/>
      </c>
      <c r="L6" s="2">
        <f>Calendario!L6</f>
        <v/>
      </c>
      <c r="M6" s="2">
        <f>Calendario!M6</f>
        <v/>
      </c>
      <c r="N6" s="2">
        <f>Calendario!N6</f>
        <v/>
      </c>
      <c r="O6" s="2">
        <f>Calendario!O6</f>
        <v/>
      </c>
      <c r="P6" s="2">
        <f>Calendario!P6</f>
        <v/>
      </c>
      <c r="Q6" s="2">
        <f>Calendario!Q6</f>
        <v/>
      </c>
      <c r="R6" s="2">
        <f>Calendario!R6</f>
        <v/>
      </c>
      <c r="S6" s="2">
        <f>Calendario!S6</f>
        <v/>
      </c>
      <c r="T6" s="2">
        <f>Calendario!T6</f>
        <v/>
      </c>
      <c r="U6" s="2">
        <f>Calendario!U6</f>
        <v/>
      </c>
      <c r="V6" s="2">
        <f>Calendario!V6</f>
        <v/>
      </c>
      <c r="W6" s="2">
        <f>Calendario!W6</f>
        <v/>
      </c>
      <c r="X6" s="2">
        <f>Calendario!X6</f>
        <v/>
      </c>
      <c r="Y6" s="2">
        <f>Calendario!Y6</f>
        <v/>
      </c>
      <c r="Z6" s="2">
        <f>Calendario!Z6</f>
        <v/>
      </c>
      <c r="AA6" s="2">
        <f>Calendario!AA6</f>
        <v/>
      </c>
      <c r="AB6" s="2">
        <f>Calendario!AB6</f>
        <v/>
      </c>
      <c r="AC6" s="2">
        <f>Calendario!AC6</f>
        <v/>
      </c>
    </row>
    <row r="7">
      <c r="A7" s="3" t="inlineStr">
        <is>
          <t>Dias de rua</t>
        </is>
      </c>
      <c r="B7" s="3" t="inlineStr">
        <is>
          <t>dias</t>
        </is>
      </c>
      <c r="C7" s="23">
        <f>Calendario!C7</f>
        <v/>
      </c>
      <c r="D7" s="23">
        <f>Calendario!D7</f>
        <v/>
      </c>
      <c r="E7" s="23">
        <f>Calendario!E7</f>
        <v/>
      </c>
      <c r="F7" s="23">
        <f>Calendario!F7</f>
        <v/>
      </c>
      <c r="G7" s="23">
        <f>Calendario!G7</f>
        <v/>
      </c>
      <c r="H7" s="23">
        <f>Calendario!H7</f>
        <v/>
      </c>
      <c r="I7" s="23">
        <f>Calendario!I7</f>
        <v/>
      </c>
      <c r="J7" s="23">
        <f>Calendario!J7</f>
        <v/>
      </c>
      <c r="K7" s="23">
        <f>Calendario!K7</f>
        <v/>
      </c>
      <c r="L7" s="23">
        <f>Calendario!L7</f>
        <v/>
      </c>
      <c r="M7" s="23">
        <f>Calendario!M7</f>
        <v/>
      </c>
      <c r="N7" s="23">
        <f>Calendario!N7</f>
        <v/>
      </c>
      <c r="O7" s="23">
        <f>Calendario!O7</f>
        <v/>
      </c>
      <c r="P7" s="23">
        <f>Calendario!P7</f>
        <v/>
      </c>
      <c r="Q7" s="23">
        <f>Calendario!Q7</f>
        <v/>
      </c>
      <c r="R7" s="23">
        <f>Calendario!R7</f>
        <v/>
      </c>
      <c r="S7" s="23">
        <f>Calendario!S7</f>
        <v/>
      </c>
      <c r="T7" s="23">
        <f>Calendario!T7</f>
        <v/>
      </c>
      <c r="U7" s="23">
        <f>Calendario!U7</f>
        <v/>
      </c>
      <c r="V7" s="23">
        <f>Calendario!V7</f>
        <v/>
      </c>
      <c r="W7" s="23">
        <f>Calendario!W7</f>
        <v/>
      </c>
      <c r="X7" s="23">
        <f>Calendario!X7</f>
        <v/>
      </c>
      <c r="Y7" s="23">
        <f>Calendario!Y7</f>
        <v/>
      </c>
      <c r="Z7" s="23">
        <f>Calendario!Z7</f>
        <v/>
      </c>
      <c r="AA7" s="23">
        <f>Calendario!AA7</f>
        <v/>
      </c>
      <c r="AB7" s="23">
        <f>Calendario!AB7</f>
        <v/>
      </c>
      <c r="AC7" s="23">
        <f>Calendario!AC7</f>
        <v/>
      </c>
    </row>
    <row r="8">
      <c r="A8" s="3" t="inlineStr">
        <is>
          <t>Abordagens</t>
        </is>
      </c>
      <c r="B8" s="3" t="inlineStr">
        <is>
          <t>n</t>
        </is>
      </c>
      <c r="C8" s="23">
        <f>C7*Premissas!$C$44</f>
        <v/>
      </c>
      <c r="D8" s="23">
        <f>D7*Premissas!$C$44</f>
        <v/>
      </c>
      <c r="E8" s="23">
        <f>E7*Premissas!$C$44</f>
        <v/>
      </c>
      <c r="F8" s="23">
        <f>F7*Premissas!$C$44</f>
        <v/>
      </c>
      <c r="G8" s="23">
        <f>G7*Premissas!$C$44</f>
        <v/>
      </c>
      <c r="H8" s="23">
        <f>H7*Premissas!$C$44</f>
        <v/>
      </c>
      <c r="I8" s="23">
        <f>I7*Premissas!$C$44</f>
        <v/>
      </c>
      <c r="J8" s="23">
        <f>J7*Premissas!$C$44</f>
        <v/>
      </c>
      <c r="K8" s="23">
        <f>K7*Premissas!$C$44</f>
        <v/>
      </c>
      <c r="L8" s="23">
        <f>L7*Premissas!$C$44</f>
        <v/>
      </c>
      <c r="M8" s="23">
        <f>M7*Premissas!$C$44</f>
        <v/>
      </c>
      <c r="N8" s="23">
        <f>N7*Premissas!$C$44</f>
        <v/>
      </c>
      <c r="O8" s="23">
        <f>O7*Premissas!$C$44</f>
        <v/>
      </c>
      <c r="P8" s="23">
        <f>P7*Premissas!$C$44</f>
        <v/>
      </c>
      <c r="Q8" s="23">
        <f>Q7*Premissas!$C$44</f>
        <v/>
      </c>
      <c r="R8" s="23">
        <f>R7*Premissas!$C$44</f>
        <v/>
      </c>
      <c r="S8" s="23">
        <f>S7*Premissas!$C$44</f>
        <v/>
      </c>
      <c r="T8" s="23">
        <f>T7*Premissas!$C$44</f>
        <v/>
      </c>
      <c r="U8" s="23">
        <f>U7*Premissas!$C$44</f>
        <v/>
      </c>
      <c r="V8" s="23">
        <f>V7*Premissas!$C$44</f>
        <v/>
      </c>
      <c r="W8" s="23">
        <f>W7*Premissas!$C$44</f>
        <v/>
      </c>
      <c r="X8" s="23">
        <f>X7*Premissas!$C$44</f>
        <v/>
      </c>
      <c r="Y8" s="23">
        <f>Y7*Premissas!$C$44</f>
        <v/>
      </c>
      <c r="Z8" s="23">
        <f>Z7*Premissas!$C$44</f>
        <v/>
      </c>
      <c r="AA8" s="23">
        <f>AA7*Premissas!$C$44</f>
        <v/>
      </c>
      <c r="AB8" s="23">
        <f>AB7*Premissas!$C$44</f>
        <v/>
      </c>
      <c r="AC8" s="23">
        <f>AC7*Premissas!$C$44</f>
        <v/>
      </c>
    </row>
    <row r="9">
      <c r="A9" s="3" t="inlineStr">
        <is>
          <t>Conversas de verdade</t>
        </is>
      </c>
      <c r="B9" s="3" t="inlineStr">
        <is>
          <t>n</t>
        </is>
      </c>
      <c r="C9" s="23">
        <f>C8*Premissas!$B$47</f>
        <v/>
      </c>
      <c r="D9" s="23">
        <f>D8*Premissas!$B$47</f>
        <v/>
      </c>
      <c r="E9" s="23">
        <f>E8*Premissas!$B$47</f>
        <v/>
      </c>
      <c r="F9" s="23">
        <f>F8*Premissas!$B$47</f>
        <v/>
      </c>
      <c r="G9" s="23">
        <f>G8*Premissas!$B$47</f>
        <v/>
      </c>
      <c r="H9" s="23">
        <f>H8*Premissas!$B$47</f>
        <v/>
      </c>
      <c r="I9" s="23">
        <f>I8*Premissas!$B$47</f>
        <v/>
      </c>
      <c r="J9" s="23">
        <f>J8*Premissas!$B$47</f>
        <v/>
      </c>
      <c r="K9" s="23">
        <f>K8*Premissas!$B$47</f>
        <v/>
      </c>
      <c r="L9" s="23">
        <f>L8*Premissas!$B$47</f>
        <v/>
      </c>
      <c r="M9" s="23">
        <f>M8*Premissas!$B$47</f>
        <v/>
      </c>
      <c r="N9" s="23">
        <f>N8*Premissas!$B$47</f>
        <v/>
      </c>
      <c r="O9" s="23">
        <f>O8*Premissas!$B$47</f>
        <v/>
      </c>
      <c r="P9" s="23">
        <f>P8*Premissas!$B$47</f>
        <v/>
      </c>
      <c r="Q9" s="23">
        <f>Q8*Premissas!$B$47</f>
        <v/>
      </c>
      <c r="R9" s="23">
        <f>R8*Premissas!$B$47</f>
        <v/>
      </c>
      <c r="S9" s="23">
        <f>S8*Premissas!$B$47</f>
        <v/>
      </c>
      <c r="T9" s="23">
        <f>T8*Premissas!$B$47</f>
        <v/>
      </c>
      <c r="U9" s="23">
        <f>U8*Premissas!$B$47</f>
        <v/>
      </c>
      <c r="V9" s="23">
        <f>V8*Premissas!$B$47</f>
        <v/>
      </c>
      <c r="W9" s="23">
        <f>W8*Premissas!$B$47</f>
        <v/>
      </c>
      <c r="X9" s="23">
        <f>X8*Premissas!$B$47</f>
        <v/>
      </c>
      <c r="Y9" s="23">
        <f>Y8*Premissas!$B$47</f>
        <v/>
      </c>
      <c r="Z9" s="23">
        <f>Z8*Premissas!$B$47</f>
        <v/>
      </c>
      <c r="AA9" s="23">
        <f>AA8*Premissas!$B$47</f>
        <v/>
      </c>
      <c r="AB9" s="23">
        <f>AB8*Premissas!$B$47</f>
        <v/>
      </c>
      <c r="AC9" s="23">
        <f>AC8*Premissas!$B$47</f>
        <v/>
      </c>
    </row>
    <row r="10">
      <c r="A10" s="3" t="inlineStr">
        <is>
          <t>Contas por prospecção</t>
        </is>
      </c>
      <c r="B10" s="3" t="inlineStr">
        <is>
          <t>n</t>
        </is>
      </c>
      <c r="C10" s="23">
        <f>C9*Premissas!$B$48</f>
        <v/>
      </c>
      <c r="D10" s="23">
        <f>D9*Premissas!$B$48</f>
        <v/>
      </c>
      <c r="E10" s="23">
        <f>E9*Premissas!$B$48</f>
        <v/>
      </c>
      <c r="F10" s="23">
        <f>F9*Premissas!$B$48</f>
        <v/>
      </c>
      <c r="G10" s="23">
        <f>G9*Premissas!$B$48</f>
        <v/>
      </c>
      <c r="H10" s="23">
        <f>H9*Premissas!$B$48</f>
        <v/>
      </c>
      <c r="I10" s="23">
        <f>I9*Premissas!$B$48</f>
        <v/>
      </c>
      <c r="J10" s="23">
        <f>J9*Premissas!$B$48</f>
        <v/>
      </c>
      <c r="K10" s="23">
        <f>K9*Premissas!$B$48</f>
        <v/>
      </c>
      <c r="L10" s="23">
        <f>L9*Premissas!$B$48</f>
        <v/>
      </c>
      <c r="M10" s="23">
        <f>M9*Premissas!$B$48</f>
        <v/>
      </c>
      <c r="N10" s="23">
        <f>N9*Premissas!$B$48</f>
        <v/>
      </c>
      <c r="O10" s="23">
        <f>O9*Premissas!$B$48</f>
        <v/>
      </c>
      <c r="P10" s="23">
        <f>P9*Premissas!$B$48</f>
        <v/>
      </c>
      <c r="Q10" s="23">
        <f>Q9*Premissas!$B$48</f>
        <v/>
      </c>
      <c r="R10" s="23">
        <f>R9*Premissas!$B$48</f>
        <v/>
      </c>
      <c r="S10" s="23">
        <f>S9*Premissas!$B$48</f>
        <v/>
      </c>
      <c r="T10" s="23">
        <f>T9*Premissas!$B$48</f>
        <v/>
      </c>
      <c r="U10" s="23">
        <f>U9*Premissas!$B$48</f>
        <v/>
      </c>
      <c r="V10" s="23">
        <f>V9*Premissas!$B$48</f>
        <v/>
      </c>
      <c r="W10" s="23">
        <f>W9*Premissas!$B$48</f>
        <v/>
      </c>
      <c r="X10" s="23">
        <f>X9*Premissas!$B$48</f>
        <v/>
      </c>
      <c r="Y10" s="23">
        <f>Y9*Premissas!$B$48</f>
        <v/>
      </c>
      <c r="Z10" s="23">
        <f>Z9*Premissas!$B$48</f>
        <v/>
      </c>
      <c r="AA10" s="23">
        <f>AA9*Premissas!$B$48</f>
        <v/>
      </c>
      <c r="AB10" s="23">
        <f>AB9*Premissas!$B$48</f>
        <v/>
      </c>
      <c r="AC10" s="23">
        <f>AC9*Premissas!$B$48</f>
        <v/>
      </c>
    </row>
    <row r="11">
      <c r="A11" s="3" t="inlineStr">
        <is>
          <t>Contas por indicação, parceiros e conteúdo</t>
        </is>
      </c>
      <c r="B11" s="3" t="inlineStr">
        <is>
          <t>n</t>
        </is>
      </c>
      <c r="C11" s="23">
        <f>0*Premissas!$B$53+Calendario!C11*Premissas!$B$54</f>
        <v/>
      </c>
      <c r="D11" s="23">
        <f>C23*Premissas!$B$53+Calendario!D11*Premissas!$B$54</f>
        <v/>
      </c>
      <c r="E11" s="23">
        <f>D23*Premissas!$B$53+Calendario!E11*Premissas!$B$54</f>
        <v/>
      </c>
      <c r="F11" s="23">
        <f>E23*Premissas!$B$53+Calendario!F11*Premissas!$B$54</f>
        <v/>
      </c>
      <c r="G11" s="23">
        <f>F23*Premissas!$B$53+Calendario!G11*Premissas!$B$54</f>
        <v/>
      </c>
      <c r="H11" s="23">
        <f>G23*Premissas!$B$53+Calendario!H11*Premissas!$B$54</f>
        <v/>
      </c>
      <c r="I11" s="23">
        <f>H23*Premissas!$B$53+Calendario!I11*Premissas!$B$54</f>
        <v/>
      </c>
      <c r="J11" s="23">
        <f>I23*Premissas!$B$53+Calendario!J11*Premissas!$B$54</f>
        <v/>
      </c>
      <c r="K11" s="23">
        <f>J23*Premissas!$B$53+Calendario!K11*Premissas!$B$54</f>
        <v/>
      </c>
      <c r="L11" s="23">
        <f>K23*Premissas!$B$53+Calendario!L11*Premissas!$B$54</f>
        <v/>
      </c>
      <c r="M11" s="23">
        <f>L23*Premissas!$B$53+Calendario!M11*Premissas!$B$54</f>
        <v/>
      </c>
      <c r="N11" s="23">
        <f>M23*Premissas!$B$53+Calendario!N11*Premissas!$B$54</f>
        <v/>
      </c>
      <c r="O11" s="23">
        <f>N23*Premissas!$B$53+Calendario!O11*Premissas!$B$54</f>
        <v/>
      </c>
      <c r="P11" s="23">
        <f>O23*Premissas!$B$53+Calendario!P11*Premissas!$B$54</f>
        <v/>
      </c>
      <c r="Q11" s="23">
        <f>P23*Premissas!$B$53+Calendario!Q11*Premissas!$B$54</f>
        <v/>
      </c>
      <c r="R11" s="23">
        <f>Q23*Premissas!$B$53+Calendario!R11*Premissas!$B$54</f>
        <v/>
      </c>
      <c r="S11" s="23">
        <f>R23*Premissas!$B$53+Calendario!S11*Premissas!$B$54</f>
        <v/>
      </c>
      <c r="T11" s="23">
        <f>S23*Premissas!$B$53+Calendario!T11*Premissas!$B$54</f>
        <v/>
      </c>
      <c r="U11" s="23">
        <f>T23*Premissas!$B$53+Calendario!U11*Premissas!$B$54</f>
        <v/>
      </c>
      <c r="V11" s="23">
        <f>U23*Premissas!$B$53+Calendario!V11*Premissas!$B$54</f>
        <v/>
      </c>
      <c r="W11" s="23">
        <f>V23*Premissas!$B$53+Calendario!W11*Premissas!$B$54</f>
        <v/>
      </c>
      <c r="X11" s="23">
        <f>W23*Premissas!$B$53+Calendario!X11*Premissas!$B$54</f>
        <v/>
      </c>
      <c r="Y11" s="23">
        <f>X23*Premissas!$B$53+Calendario!Y11*Premissas!$B$54</f>
        <v/>
      </c>
      <c r="Z11" s="23">
        <f>Y23*Premissas!$B$53+Calendario!Z11*Premissas!$B$54</f>
        <v/>
      </c>
      <c r="AA11" s="23">
        <f>Z23*Premissas!$B$53+Calendario!AA11*Premissas!$B$54</f>
        <v/>
      </c>
      <c r="AB11" s="23">
        <f>AA23*Premissas!$B$53+Calendario!AB11*Premissas!$B$54</f>
        <v/>
      </c>
      <c r="AC11" s="23">
        <f>AB23*Premissas!$B$53+Calendario!AC11*Premissas!$B$54</f>
        <v/>
      </c>
    </row>
    <row r="12">
      <c r="A12" s="3" t="inlineStr">
        <is>
          <t>Contas do alpha (convidadas)</t>
        </is>
      </c>
      <c r="B12" s="3" t="inlineStr">
        <is>
          <t>n</t>
        </is>
      </c>
      <c r="C12" s="23">
        <f>Calendario!C10*Premissas!$C$41</f>
        <v/>
      </c>
      <c r="D12" s="23">
        <f>Calendario!D10*Premissas!$C$41</f>
        <v/>
      </c>
      <c r="E12" s="23">
        <f>Calendario!E10*Premissas!$C$41</f>
        <v/>
      </c>
      <c r="F12" s="23">
        <f>Calendario!F10*Premissas!$C$41</f>
        <v/>
      </c>
      <c r="G12" s="23">
        <f>Calendario!G10*Premissas!$C$41</f>
        <v/>
      </c>
      <c r="H12" s="23">
        <f>Calendario!H10*Premissas!$C$41</f>
        <v/>
      </c>
      <c r="I12" s="23">
        <f>Calendario!I10*Premissas!$C$41</f>
        <v/>
      </c>
      <c r="J12" s="23">
        <f>Calendario!J10*Premissas!$C$41</f>
        <v/>
      </c>
      <c r="K12" s="23">
        <f>Calendario!K10*Premissas!$C$41</f>
        <v/>
      </c>
      <c r="L12" s="23">
        <f>Calendario!L10*Premissas!$C$41</f>
        <v/>
      </c>
      <c r="M12" s="23">
        <f>Calendario!M10*Premissas!$C$41</f>
        <v/>
      </c>
      <c r="N12" s="23">
        <f>Calendario!N10*Premissas!$C$41</f>
        <v/>
      </c>
      <c r="O12" s="23">
        <f>Calendario!O10*Premissas!$C$41</f>
        <v/>
      </c>
      <c r="P12" s="23">
        <f>Calendario!P10*Premissas!$C$41</f>
        <v/>
      </c>
      <c r="Q12" s="23">
        <f>Calendario!Q10*Premissas!$C$41</f>
        <v/>
      </c>
      <c r="R12" s="23">
        <f>Calendario!R10*Premissas!$C$41</f>
        <v/>
      </c>
      <c r="S12" s="23">
        <f>Calendario!S10*Premissas!$C$41</f>
        <v/>
      </c>
      <c r="T12" s="23">
        <f>Calendario!T10*Premissas!$C$41</f>
        <v/>
      </c>
      <c r="U12" s="23">
        <f>Calendario!U10*Premissas!$C$41</f>
        <v/>
      </c>
      <c r="V12" s="23">
        <f>Calendario!V10*Premissas!$C$41</f>
        <v/>
      </c>
      <c r="W12" s="23">
        <f>Calendario!W10*Premissas!$C$41</f>
        <v/>
      </c>
      <c r="X12" s="23">
        <f>Calendario!X10*Premissas!$C$41</f>
        <v/>
      </c>
      <c r="Y12" s="23">
        <f>Calendario!Y10*Premissas!$C$41</f>
        <v/>
      </c>
      <c r="Z12" s="23">
        <f>Calendario!Z10*Premissas!$C$41</f>
        <v/>
      </c>
      <c r="AA12" s="23">
        <f>Calendario!AA10*Premissas!$C$41</f>
        <v/>
      </c>
      <c r="AB12" s="23">
        <f>Calendario!AB10*Premissas!$C$41</f>
        <v/>
      </c>
      <c r="AC12" s="23">
        <f>Calendario!AC10*Premissas!$C$41</f>
        <v/>
      </c>
    </row>
    <row r="13">
      <c r="A13" s="3" t="inlineStr">
        <is>
          <t>Demanda total de contas</t>
        </is>
      </c>
      <c r="B13" s="3" t="inlineStr">
        <is>
          <t>n</t>
        </is>
      </c>
      <c r="C13" s="23">
        <f>C10+C11+C12</f>
        <v/>
      </c>
      <c r="D13" s="23">
        <f>D10+D11+D12</f>
        <v/>
      </c>
      <c r="E13" s="23">
        <f>E10+E11+E12</f>
        <v/>
      </c>
      <c r="F13" s="23">
        <f>F10+F11+F12</f>
        <v/>
      </c>
      <c r="G13" s="23">
        <f>G10+G11+G12</f>
        <v/>
      </c>
      <c r="H13" s="23">
        <f>H10+H11+H12</f>
        <v/>
      </c>
      <c r="I13" s="23">
        <f>I10+I11+I12</f>
        <v/>
      </c>
      <c r="J13" s="23">
        <f>J10+J11+J12</f>
        <v/>
      </c>
      <c r="K13" s="23">
        <f>K10+K11+K12</f>
        <v/>
      </c>
      <c r="L13" s="23">
        <f>L10+L11+L12</f>
        <v/>
      </c>
      <c r="M13" s="23">
        <f>M10+M11+M12</f>
        <v/>
      </c>
      <c r="N13" s="23">
        <f>N10+N11+N12</f>
        <v/>
      </c>
      <c r="O13" s="23">
        <f>O10+O11+O12</f>
        <v/>
      </c>
      <c r="P13" s="23">
        <f>P10+P11+P12</f>
        <v/>
      </c>
      <c r="Q13" s="23">
        <f>Q10+Q11+Q12</f>
        <v/>
      </c>
      <c r="R13" s="23">
        <f>R10+R11+R12</f>
        <v/>
      </c>
      <c r="S13" s="23">
        <f>S10+S11+S12</f>
        <v/>
      </c>
      <c r="T13" s="23">
        <f>T10+T11+T12</f>
        <v/>
      </c>
      <c r="U13" s="23">
        <f>U10+U11+U12</f>
        <v/>
      </c>
      <c r="V13" s="23">
        <f>V10+V11+V12</f>
        <v/>
      </c>
      <c r="W13" s="23">
        <f>W10+W11+W12</f>
        <v/>
      </c>
      <c r="X13" s="23">
        <f>X10+X11+X12</f>
        <v/>
      </c>
      <c r="Y13" s="23">
        <f>Y10+Y11+Y12</f>
        <v/>
      </c>
      <c r="Z13" s="23">
        <f>Z10+Z11+Z12</f>
        <v/>
      </c>
      <c r="AA13" s="23">
        <f>AA10+AA11+AA12</f>
        <v/>
      </c>
      <c r="AB13" s="23">
        <f>AB10+AB11+AB12</f>
        <v/>
      </c>
      <c r="AC13" s="23">
        <f>AC10+AC11+AC12</f>
        <v/>
      </c>
    </row>
    <row r="14">
      <c r="A14" s="3" t="inlineStr">
        <is>
          <t>Capacidade de atender</t>
        </is>
      </c>
      <c r="B14" s="3" t="inlineStr">
        <is>
          <t>n</t>
        </is>
      </c>
      <c r="C14" s="23">
        <f>IF(Calendario!C8=0,MAX(0,Premissas!$C$42-0),Premissas!$C$43)</f>
        <v/>
      </c>
      <c r="D14" s="23">
        <f>IF(Calendario!D8=0,MAX(0,Premissas!$C$42-C17),Premissas!$C$43)</f>
        <v/>
      </c>
      <c r="E14" s="23">
        <f>IF(Calendario!E8=0,MAX(0,Premissas!$C$42-D17),Premissas!$C$43)</f>
        <v/>
      </c>
      <c r="F14" s="23">
        <f>IF(Calendario!F8=0,MAX(0,Premissas!$C$42-E17),Premissas!$C$43)</f>
        <v/>
      </c>
      <c r="G14" s="23">
        <f>IF(Calendario!G8=0,MAX(0,Premissas!$C$42-F17),Premissas!$C$43)</f>
        <v/>
      </c>
      <c r="H14" s="23">
        <f>IF(Calendario!H8=0,MAX(0,Premissas!$C$42-G17),Premissas!$C$43)</f>
        <v/>
      </c>
      <c r="I14" s="23">
        <f>IF(Calendario!I8=0,MAX(0,Premissas!$C$42-H17),Premissas!$C$43)</f>
        <v/>
      </c>
      <c r="J14" s="23">
        <f>IF(Calendario!J8=0,MAX(0,Premissas!$C$42-I17),Premissas!$C$43)</f>
        <v/>
      </c>
      <c r="K14" s="23">
        <f>IF(Calendario!K8=0,MAX(0,Premissas!$C$42-J17),Premissas!$C$43)</f>
        <v/>
      </c>
      <c r="L14" s="23">
        <f>IF(Calendario!L8=0,MAX(0,Premissas!$C$42-K17),Premissas!$C$43)</f>
        <v/>
      </c>
      <c r="M14" s="23">
        <f>IF(Calendario!M8=0,MAX(0,Premissas!$C$42-L17),Premissas!$C$43)</f>
        <v/>
      </c>
      <c r="N14" s="23">
        <f>IF(Calendario!N8=0,MAX(0,Premissas!$C$42-M17),Premissas!$C$43)</f>
        <v/>
      </c>
      <c r="O14" s="23">
        <f>IF(Calendario!O8=0,MAX(0,Premissas!$C$42-N17),Premissas!$C$43)</f>
        <v/>
      </c>
      <c r="P14" s="23">
        <f>IF(Calendario!P8=0,MAX(0,Premissas!$C$42-O17),Premissas!$C$43)</f>
        <v/>
      </c>
      <c r="Q14" s="23">
        <f>IF(Calendario!Q8=0,MAX(0,Premissas!$C$42-P17),Premissas!$C$43)</f>
        <v/>
      </c>
      <c r="R14" s="23">
        <f>IF(Calendario!R8=0,MAX(0,Premissas!$C$42-Q17),Premissas!$C$43)</f>
        <v/>
      </c>
      <c r="S14" s="23">
        <f>IF(Calendario!S8=0,MAX(0,Premissas!$C$42-R17),Premissas!$C$43)</f>
        <v/>
      </c>
      <c r="T14" s="23">
        <f>IF(Calendario!T8=0,MAX(0,Premissas!$C$42-S17),Premissas!$C$43)</f>
        <v/>
      </c>
      <c r="U14" s="23">
        <f>IF(Calendario!U8=0,MAX(0,Premissas!$C$42-T17),Premissas!$C$43)</f>
        <v/>
      </c>
      <c r="V14" s="23">
        <f>IF(Calendario!V8=0,MAX(0,Premissas!$C$42-U17),Premissas!$C$43)</f>
        <v/>
      </c>
      <c r="W14" s="23">
        <f>IF(Calendario!W8=0,MAX(0,Premissas!$C$42-V17),Premissas!$C$43)</f>
        <v/>
      </c>
      <c r="X14" s="23">
        <f>IF(Calendario!X8=0,MAX(0,Premissas!$C$42-W17),Premissas!$C$43)</f>
        <v/>
      </c>
      <c r="Y14" s="23">
        <f>IF(Calendario!Y8=0,MAX(0,Premissas!$C$42-X17),Premissas!$C$43)</f>
        <v/>
      </c>
      <c r="Z14" s="23">
        <f>IF(Calendario!Z8=0,MAX(0,Premissas!$C$42-Y17),Premissas!$C$43)</f>
        <v/>
      </c>
      <c r="AA14" s="23">
        <f>IF(Calendario!AA8=0,MAX(0,Premissas!$C$42-Z17),Premissas!$C$43)</f>
        <v/>
      </c>
      <c r="AB14" s="23">
        <f>IF(Calendario!AB8=0,MAX(0,Premissas!$C$42-AA17),Premissas!$C$43)</f>
        <v/>
      </c>
      <c r="AC14" s="23">
        <f>IF(Calendario!AC8=0,MAX(0,Premissas!$C$42-AB17),Premissas!$C$43)</f>
        <v/>
      </c>
    </row>
    <row r="15">
      <c r="A15" s="3" t="inlineStr">
        <is>
          <t>Contas criadas</t>
        </is>
      </c>
      <c r="B15" s="3" t="inlineStr">
        <is>
          <t>n</t>
        </is>
      </c>
      <c r="C15" s="23">
        <f>MIN(C13,C14)</f>
        <v/>
      </c>
      <c r="D15" s="23">
        <f>MIN(D13,D14)</f>
        <v/>
      </c>
      <c r="E15" s="23">
        <f>MIN(E13,E14)</f>
        <v/>
      </c>
      <c r="F15" s="23">
        <f>MIN(F13,F14)</f>
        <v/>
      </c>
      <c r="G15" s="23">
        <f>MIN(G13,G14)</f>
        <v/>
      </c>
      <c r="H15" s="23">
        <f>MIN(H13,H14)</f>
        <v/>
      </c>
      <c r="I15" s="23">
        <f>MIN(I13,I14)</f>
        <v/>
      </c>
      <c r="J15" s="23">
        <f>MIN(J13,J14)</f>
        <v/>
      </c>
      <c r="K15" s="23">
        <f>MIN(K13,K14)</f>
        <v/>
      </c>
      <c r="L15" s="23">
        <f>MIN(L13,L14)</f>
        <v/>
      </c>
      <c r="M15" s="23">
        <f>MIN(M13,M14)</f>
        <v/>
      </c>
      <c r="N15" s="23">
        <f>MIN(N13,N14)</f>
        <v/>
      </c>
      <c r="O15" s="23">
        <f>MIN(O13,O14)</f>
        <v/>
      </c>
      <c r="P15" s="23">
        <f>MIN(P13,P14)</f>
        <v/>
      </c>
      <c r="Q15" s="23">
        <f>MIN(Q13,Q14)</f>
        <v/>
      </c>
      <c r="R15" s="23">
        <f>MIN(R13,R14)</f>
        <v/>
      </c>
      <c r="S15" s="23">
        <f>MIN(S13,S14)</f>
        <v/>
      </c>
      <c r="T15" s="23">
        <f>MIN(T13,T14)</f>
        <v/>
      </c>
      <c r="U15" s="23">
        <f>MIN(U13,U14)</f>
        <v/>
      </c>
      <c r="V15" s="23">
        <f>MIN(V13,V14)</f>
        <v/>
      </c>
      <c r="W15" s="23">
        <f>MIN(W13,W14)</f>
        <v/>
      </c>
      <c r="X15" s="23">
        <f>MIN(X13,X14)</f>
        <v/>
      </c>
      <c r="Y15" s="23">
        <f>MIN(Y13,Y14)</f>
        <v/>
      </c>
      <c r="Z15" s="23">
        <f>MIN(Z13,Z14)</f>
        <v/>
      </c>
      <c r="AA15" s="23">
        <f>MIN(AA13,AA14)</f>
        <v/>
      </c>
      <c r="AB15" s="23">
        <f>MIN(AB13,AB14)</f>
        <v/>
      </c>
      <c r="AC15" s="23">
        <f>MIN(AC13,AC14)</f>
        <v/>
      </c>
    </row>
    <row r="16">
      <c r="A16" s="3" t="inlineStr">
        <is>
          <t>Fila de espera gerada</t>
        </is>
      </c>
      <c r="B16" s="3" t="inlineStr">
        <is>
          <t>n</t>
        </is>
      </c>
      <c r="C16" s="23">
        <f>C13-C15</f>
        <v/>
      </c>
      <c r="D16" s="23">
        <f>D13-D15</f>
        <v/>
      </c>
      <c r="E16" s="23">
        <f>E13-E15</f>
        <v/>
      </c>
      <c r="F16" s="23">
        <f>F13-F15</f>
        <v/>
      </c>
      <c r="G16" s="23">
        <f>G13-G15</f>
        <v/>
      </c>
      <c r="H16" s="23">
        <f>H13-H15</f>
        <v/>
      </c>
      <c r="I16" s="23">
        <f>I13-I15</f>
        <v/>
      </c>
      <c r="J16" s="23">
        <f>J13-J15</f>
        <v/>
      </c>
      <c r="K16" s="23">
        <f>K13-K15</f>
        <v/>
      </c>
      <c r="L16" s="23">
        <f>L13-L15</f>
        <v/>
      </c>
      <c r="M16" s="23">
        <f>M13-M15</f>
        <v/>
      </c>
      <c r="N16" s="23">
        <f>N13-N15</f>
        <v/>
      </c>
      <c r="O16" s="23">
        <f>O13-O15</f>
        <v/>
      </c>
      <c r="P16" s="23">
        <f>P13-P15</f>
        <v/>
      </c>
      <c r="Q16" s="23">
        <f>Q13-Q15</f>
        <v/>
      </c>
      <c r="R16" s="23">
        <f>R13-R15</f>
        <v/>
      </c>
      <c r="S16" s="23">
        <f>S13-S15</f>
        <v/>
      </c>
      <c r="T16" s="23">
        <f>T13-T15</f>
        <v/>
      </c>
      <c r="U16" s="23">
        <f>U13-U15</f>
        <v/>
      </c>
      <c r="V16" s="23">
        <f>V13-V15</f>
        <v/>
      </c>
      <c r="W16" s="23">
        <f>W13-W15</f>
        <v/>
      </c>
      <c r="X16" s="23">
        <f>X13-X15</f>
        <v/>
      </c>
      <c r="Y16" s="23">
        <f>Y13-Y15</f>
        <v/>
      </c>
      <c r="Z16" s="23">
        <f>Z13-Z15</f>
        <v/>
      </c>
      <c r="AA16" s="23">
        <f>AA13-AA15</f>
        <v/>
      </c>
      <c r="AB16" s="23">
        <f>AB13-AB15</f>
        <v/>
      </c>
      <c r="AC16" s="23">
        <f>AC13-AC15</f>
        <v/>
      </c>
    </row>
    <row r="17">
      <c r="A17" s="3" t="inlineStr">
        <is>
          <t>Contas acumuladas</t>
        </is>
      </c>
      <c r="B17" s="3" t="inlineStr">
        <is>
          <t>n</t>
        </is>
      </c>
      <c r="C17" s="23">
        <f>0+C15</f>
        <v/>
      </c>
      <c r="D17" s="23">
        <f>C17+D15</f>
        <v/>
      </c>
      <c r="E17" s="23">
        <f>D17+E15</f>
        <v/>
      </c>
      <c r="F17" s="23">
        <f>E17+F15</f>
        <v/>
      </c>
      <c r="G17" s="23">
        <f>F17+G15</f>
        <v/>
      </c>
      <c r="H17" s="23">
        <f>G17+H15</f>
        <v/>
      </c>
      <c r="I17" s="23">
        <f>H17+I15</f>
        <v/>
      </c>
      <c r="J17" s="23">
        <f>I17+J15</f>
        <v/>
      </c>
      <c r="K17" s="23">
        <f>J17+K15</f>
        <v/>
      </c>
      <c r="L17" s="23">
        <f>K17+L15</f>
        <v/>
      </c>
      <c r="M17" s="23">
        <f>L17+M15</f>
        <v/>
      </c>
      <c r="N17" s="23">
        <f>M17+N15</f>
        <v/>
      </c>
      <c r="O17" s="23">
        <f>N17+O15</f>
        <v/>
      </c>
      <c r="P17" s="23">
        <f>O17+P15</f>
        <v/>
      </c>
      <c r="Q17" s="23">
        <f>P17+Q15</f>
        <v/>
      </c>
      <c r="R17" s="23">
        <f>Q17+R15</f>
        <v/>
      </c>
      <c r="S17" s="23">
        <f>R17+S15</f>
        <v/>
      </c>
      <c r="T17" s="23">
        <f>S17+T15</f>
        <v/>
      </c>
      <c r="U17" s="23">
        <f>T17+U15</f>
        <v/>
      </c>
      <c r="V17" s="23">
        <f>U17+V15</f>
        <v/>
      </c>
      <c r="W17" s="23">
        <f>V17+W15</f>
        <v/>
      </c>
      <c r="X17" s="23">
        <f>W17+X15</f>
        <v/>
      </c>
      <c r="Y17" s="23">
        <f>X17+Y15</f>
        <v/>
      </c>
      <c r="Z17" s="23">
        <f>Y17+Z15</f>
        <v/>
      </c>
      <c r="AA17" s="23">
        <f>Z17+AA15</f>
        <v/>
      </c>
      <c r="AB17" s="23">
        <f>AA17+AB15</f>
        <v/>
      </c>
      <c r="AC17" s="23">
        <f>AB17+AC15</f>
        <v/>
      </c>
    </row>
    <row r="18">
      <c r="A18" s="3" t="inlineStr">
        <is>
          <t>Contas ativas novas</t>
        </is>
      </c>
      <c r="B18" s="3" t="inlineStr">
        <is>
          <t>n</t>
        </is>
      </c>
      <c r="C18" s="23">
        <f>C15*Premissas!$B$49</f>
        <v/>
      </c>
      <c r="D18" s="23">
        <f>D15*Premissas!$B$49</f>
        <v/>
      </c>
      <c r="E18" s="23">
        <f>E15*Premissas!$B$49</f>
        <v/>
      </c>
      <c r="F18" s="23">
        <f>F15*Premissas!$B$49</f>
        <v/>
      </c>
      <c r="G18" s="23">
        <f>G15*Premissas!$B$49</f>
        <v/>
      </c>
      <c r="H18" s="23">
        <f>H15*Premissas!$B$49</f>
        <v/>
      </c>
      <c r="I18" s="23">
        <f>I15*Premissas!$B$49</f>
        <v/>
      </c>
      <c r="J18" s="23">
        <f>J15*Premissas!$B$49</f>
        <v/>
      </c>
      <c r="K18" s="23">
        <f>K15*Premissas!$B$49</f>
        <v/>
      </c>
      <c r="L18" s="23">
        <f>L15*Premissas!$B$49</f>
        <v/>
      </c>
      <c r="M18" s="23">
        <f>M15*Premissas!$B$49</f>
        <v/>
      </c>
      <c r="N18" s="23">
        <f>N15*Premissas!$B$49</f>
        <v/>
      </c>
      <c r="O18" s="23">
        <f>O15*Premissas!$B$49</f>
        <v/>
      </c>
      <c r="P18" s="23">
        <f>P15*Premissas!$B$49</f>
        <v/>
      </c>
      <c r="Q18" s="23">
        <f>Q15*Premissas!$B$49</f>
        <v/>
      </c>
      <c r="R18" s="23">
        <f>R15*Premissas!$B$49</f>
        <v/>
      </c>
      <c r="S18" s="23">
        <f>S15*Premissas!$B$49</f>
        <v/>
      </c>
      <c r="T18" s="23">
        <f>T15*Premissas!$B$49</f>
        <v/>
      </c>
      <c r="U18" s="23">
        <f>U15*Premissas!$B$49</f>
        <v/>
      </c>
      <c r="V18" s="23">
        <f>V15*Premissas!$B$49</f>
        <v/>
      </c>
      <c r="W18" s="23">
        <f>W15*Premissas!$B$49</f>
        <v/>
      </c>
      <c r="X18" s="23">
        <f>X15*Premissas!$B$49</f>
        <v/>
      </c>
      <c r="Y18" s="23">
        <f>Y15*Premissas!$B$49</f>
        <v/>
      </c>
      <c r="Z18" s="23">
        <f>Z15*Premissas!$B$49</f>
        <v/>
      </c>
      <c r="AA18" s="23">
        <f>AA15*Premissas!$B$49</f>
        <v/>
      </c>
      <c r="AB18" s="23">
        <f>AB15*Premissas!$B$49</f>
        <v/>
      </c>
      <c r="AC18" s="23">
        <f>AC15*Premissas!$B$49</f>
        <v/>
      </c>
    </row>
    <row r="19">
      <c r="A19" s="24" t="inlineStr">
        <is>
          <t>Pagantes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>
      <c r="A20" s="3" t="inlineStr">
        <is>
          <t>Pagantes no início</t>
        </is>
      </c>
      <c r="B20" s="3" t="inlineStr">
        <is>
          <t>n</t>
        </is>
      </c>
      <c r="C20" s="23">
        <f>0</f>
        <v/>
      </c>
      <c r="D20" s="23">
        <f>C23</f>
        <v/>
      </c>
      <c r="E20" s="23">
        <f>D23</f>
        <v/>
      </c>
      <c r="F20" s="23">
        <f>E23</f>
        <v/>
      </c>
      <c r="G20" s="23">
        <f>F23</f>
        <v/>
      </c>
      <c r="H20" s="23">
        <f>G23</f>
        <v/>
      </c>
      <c r="I20" s="23">
        <f>H23</f>
        <v/>
      </c>
      <c r="J20" s="23">
        <f>I23</f>
        <v/>
      </c>
      <c r="K20" s="23">
        <f>J23</f>
        <v/>
      </c>
      <c r="L20" s="23">
        <f>K23</f>
        <v/>
      </c>
      <c r="M20" s="23">
        <f>L23</f>
        <v/>
      </c>
      <c r="N20" s="23">
        <f>M23</f>
        <v/>
      </c>
      <c r="O20" s="23">
        <f>N23</f>
        <v/>
      </c>
      <c r="P20" s="23">
        <f>O23</f>
        <v/>
      </c>
      <c r="Q20" s="23">
        <f>P23</f>
        <v/>
      </c>
      <c r="R20" s="23">
        <f>Q23</f>
        <v/>
      </c>
      <c r="S20" s="23">
        <f>R23</f>
        <v/>
      </c>
      <c r="T20" s="23">
        <f>S23</f>
        <v/>
      </c>
      <c r="U20" s="23">
        <f>T23</f>
        <v/>
      </c>
      <c r="V20" s="23">
        <f>U23</f>
        <v/>
      </c>
      <c r="W20" s="23">
        <f>V23</f>
        <v/>
      </c>
      <c r="X20" s="23">
        <f>W23</f>
        <v/>
      </c>
      <c r="Y20" s="23">
        <f>X23</f>
        <v/>
      </c>
      <c r="Z20" s="23">
        <f>Y23</f>
        <v/>
      </c>
      <c r="AA20" s="23">
        <f>Z23</f>
        <v/>
      </c>
      <c r="AB20" s="23">
        <f>AA23</f>
        <v/>
      </c>
      <c r="AC20" s="23">
        <f>AB23</f>
        <v/>
      </c>
    </row>
    <row r="21">
      <c r="A21" s="3" t="inlineStr">
        <is>
          <t>Novos pagantes</t>
        </is>
      </c>
      <c r="B21" s="3" t="inlineStr">
        <is>
          <t>n1</t>
        </is>
      </c>
      <c r="C21" s="26">
        <f>Calendario!C9*0*Premissas!$B$50+(Calendario!C8-Calendario!C9)*0*Premissas!$B$50</f>
        <v/>
      </c>
      <c r="D21" s="26">
        <f>Calendario!D9*C17*Premissas!$B$50+(Calendario!D8-Calendario!D9)*C15*Premissas!$B$50</f>
        <v/>
      </c>
      <c r="E21" s="26">
        <f>Calendario!E9*D17*Premissas!$B$50+(Calendario!E8-Calendario!E9)*D15*Premissas!$B$50</f>
        <v/>
      </c>
      <c r="F21" s="26">
        <f>Calendario!F9*E17*Premissas!$B$50+(Calendario!F8-Calendario!F9)*E15*Premissas!$B$50</f>
        <v/>
      </c>
      <c r="G21" s="26">
        <f>Calendario!G9*F17*Premissas!$B$50+(Calendario!G8-Calendario!G9)*F15*Premissas!$B$50</f>
        <v/>
      </c>
      <c r="H21" s="26">
        <f>Calendario!H9*G17*Premissas!$B$50+(Calendario!H8-Calendario!H9)*G15*Premissas!$B$50</f>
        <v/>
      </c>
      <c r="I21" s="26">
        <f>Calendario!I9*H17*Premissas!$B$50+(Calendario!I8-Calendario!I9)*H15*Premissas!$B$50</f>
        <v/>
      </c>
      <c r="J21" s="26">
        <f>Calendario!J9*I17*Premissas!$B$50+(Calendario!J8-Calendario!J9)*I15*Premissas!$B$50</f>
        <v/>
      </c>
      <c r="K21" s="26">
        <f>Calendario!K9*J17*Premissas!$B$50+(Calendario!K8-Calendario!K9)*J15*Premissas!$B$50</f>
        <v/>
      </c>
      <c r="L21" s="26">
        <f>Calendario!L9*K17*Premissas!$B$50+(Calendario!L8-Calendario!L9)*K15*Premissas!$B$50</f>
        <v/>
      </c>
      <c r="M21" s="26">
        <f>Calendario!M9*L17*Premissas!$B$50+(Calendario!M8-Calendario!M9)*L15*Premissas!$B$50</f>
        <v/>
      </c>
      <c r="N21" s="26">
        <f>Calendario!N9*M17*Premissas!$B$50+(Calendario!N8-Calendario!N9)*M15*Premissas!$B$50</f>
        <v/>
      </c>
      <c r="O21" s="26">
        <f>Calendario!O9*N17*Premissas!$B$50+(Calendario!O8-Calendario!O9)*N15*Premissas!$B$50</f>
        <v/>
      </c>
      <c r="P21" s="26">
        <f>Calendario!P9*O17*Premissas!$B$50+(Calendario!P8-Calendario!P9)*O15*Premissas!$B$50</f>
        <v/>
      </c>
      <c r="Q21" s="26">
        <f>Calendario!Q9*P17*Premissas!$B$50+(Calendario!Q8-Calendario!Q9)*P15*Premissas!$B$50</f>
        <v/>
      </c>
      <c r="R21" s="26">
        <f>Calendario!R9*Q17*Premissas!$B$50+(Calendario!R8-Calendario!R9)*Q15*Premissas!$B$50</f>
        <v/>
      </c>
      <c r="S21" s="26">
        <f>Calendario!S9*R17*Premissas!$B$50+(Calendario!S8-Calendario!S9)*R15*Premissas!$B$50</f>
        <v/>
      </c>
      <c r="T21" s="26">
        <f>Calendario!T9*S17*Premissas!$B$50+(Calendario!T8-Calendario!T9)*S15*Premissas!$B$50</f>
        <v/>
      </c>
      <c r="U21" s="26">
        <f>Calendario!U9*T17*Premissas!$B$50+(Calendario!U8-Calendario!U9)*T15*Premissas!$B$50</f>
        <v/>
      </c>
      <c r="V21" s="26">
        <f>Calendario!V9*U17*Premissas!$B$50+(Calendario!V8-Calendario!V9)*U15*Premissas!$B$50</f>
        <v/>
      </c>
      <c r="W21" s="26">
        <f>Calendario!W9*V17*Premissas!$B$50+(Calendario!W8-Calendario!W9)*V15*Premissas!$B$50</f>
        <v/>
      </c>
      <c r="X21" s="26">
        <f>Calendario!X9*W17*Premissas!$B$50+(Calendario!X8-Calendario!X9)*W15*Premissas!$B$50</f>
        <v/>
      </c>
      <c r="Y21" s="26">
        <f>Calendario!Y9*X17*Premissas!$B$50+(Calendario!Y8-Calendario!Y9)*X15*Premissas!$B$50</f>
        <v/>
      </c>
      <c r="Z21" s="26">
        <f>Calendario!Z9*Y17*Premissas!$B$50+(Calendario!Z8-Calendario!Z9)*Y15*Premissas!$B$50</f>
        <v/>
      </c>
      <c r="AA21" s="26">
        <f>Calendario!AA9*Z17*Premissas!$B$50+(Calendario!AA8-Calendario!AA9)*Z15*Premissas!$B$50</f>
        <v/>
      </c>
      <c r="AB21" s="26">
        <f>Calendario!AB9*AA17*Premissas!$B$50+(Calendario!AB8-Calendario!AB9)*AA15*Premissas!$B$50</f>
        <v/>
      </c>
      <c r="AC21" s="26">
        <f>Calendario!AC9*AB17*Premissas!$B$50+(Calendario!AC8-Calendario!AC9)*AB15*Premissas!$B$50</f>
        <v/>
      </c>
    </row>
    <row r="22">
      <c r="A22" s="3" t="inlineStr">
        <is>
          <t>Cancelamentos</t>
        </is>
      </c>
      <c r="B22" s="3" t="inlineStr">
        <is>
          <t>n1</t>
        </is>
      </c>
      <c r="C22" s="26">
        <f>C20*Premissas!$B$51</f>
        <v/>
      </c>
      <c r="D22" s="26">
        <f>D20*Premissas!$B$51</f>
        <v/>
      </c>
      <c r="E22" s="26">
        <f>E20*Premissas!$B$51</f>
        <v/>
      </c>
      <c r="F22" s="26">
        <f>F20*Premissas!$B$51</f>
        <v/>
      </c>
      <c r="G22" s="26">
        <f>G20*Premissas!$B$51</f>
        <v/>
      </c>
      <c r="H22" s="26">
        <f>H20*Premissas!$B$51</f>
        <v/>
      </c>
      <c r="I22" s="26">
        <f>I20*Premissas!$B$51</f>
        <v/>
      </c>
      <c r="J22" s="26">
        <f>J20*Premissas!$B$51</f>
        <v/>
      </c>
      <c r="K22" s="26">
        <f>K20*Premissas!$B$51</f>
        <v/>
      </c>
      <c r="L22" s="26">
        <f>L20*Premissas!$B$51</f>
        <v/>
      </c>
      <c r="M22" s="26">
        <f>M20*Premissas!$B$51</f>
        <v/>
      </c>
      <c r="N22" s="26">
        <f>N20*Premissas!$B$51</f>
        <v/>
      </c>
      <c r="O22" s="26">
        <f>O20*Premissas!$B$51</f>
        <v/>
      </c>
      <c r="P22" s="26">
        <f>P20*Premissas!$B$51</f>
        <v/>
      </c>
      <c r="Q22" s="26">
        <f>Q20*Premissas!$B$51</f>
        <v/>
      </c>
      <c r="R22" s="26">
        <f>R20*Premissas!$B$51</f>
        <v/>
      </c>
      <c r="S22" s="26">
        <f>S20*Premissas!$B$51</f>
        <v/>
      </c>
      <c r="T22" s="26">
        <f>T20*Premissas!$B$51</f>
        <v/>
      </c>
      <c r="U22" s="26">
        <f>U20*Premissas!$B$51</f>
        <v/>
      </c>
      <c r="V22" s="26">
        <f>V20*Premissas!$B$51</f>
        <v/>
      </c>
      <c r="W22" s="26">
        <f>W20*Premissas!$B$51</f>
        <v/>
      </c>
      <c r="X22" s="26">
        <f>X20*Premissas!$B$51</f>
        <v/>
      </c>
      <c r="Y22" s="26">
        <f>Y20*Premissas!$B$51</f>
        <v/>
      </c>
      <c r="Z22" s="26">
        <f>Z20*Premissas!$B$51</f>
        <v/>
      </c>
      <c r="AA22" s="26">
        <f>AA20*Premissas!$B$51</f>
        <v/>
      </c>
      <c r="AB22" s="26">
        <f>AB20*Premissas!$B$51</f>
        <v/>
      </c>
      <c r="AC22" s="26">
        <f>AC20*Premissas!$B$51</f>
        <v/>
      </c>
    </row>
    <row r="23">
      <c r="A23" s="27" t="inlineStr">
        <is>
          <t>Pagantes no fim</t>
        </is>
      </c>
      <c r="B23" s="3" t="inlineStr">
        <is>
          <t>n1</t>
        </is>
      </c>
      <c r="C23" s="28">
        <f>C20+C21-C22</f>
        <v/>
      </c>
      <c r="D23" s="28">
        <f>D20+D21-D22</f>
        <v/>
      </c>
      <c r="E23" s="28">
        <f>E20+E21-E22</f>
        <v/>
      </c>
      <c r="F23" s="28">
        <f>F20+F21-F22</f>
        <v/>
      </c>
      <c r="G23" s="28">
        <f>G20+G21-G22</f>
        <v/>
      </c>
      <c r="H23" s="28">
        <f>H20+H21-H22</f>
        <v/>
      </c>
      <c r="I23" s="28">
        <f>I20+I21-I22</f>
        <v/>
      </c>
      <c r="J23" s="28">
        <f>J20+J21-J22</f>
        <v/>
      </c>
      <c r="K23" s="28">
        <f>K20+K21-K22</f>
        <v/>
      </c>
      <c r="L23" s="28">
        <f>L20+L21-L22</f>
        <v/>
      </c>
      <c r="M23" s="28">
        <f>M20+M21-M22</f>
        <v/>
      </c>
      <c r="N23" s="28">
        <f>N20+N21-N22</f>
        <v/>
      </c>
      <c r="O23" s="28">
        <f>O20+O21-O22</f>
        <v/>
      </c>
      <c r="P23" s="28">
        <f>P20+P21-P22</f>
        <v/>
      </c>
      <c r="Q23" s="28">
        <f>Q20+Q21-Q22</f>
        <v/>
      </c>
      <c r="R23" s="28">
        <f>R20+R21-R22</f>
        <v/>
      </c>
      <c r="S23" s="28">
        <f>S20+S21-S22</f>
        <v/>
      </c>
      <c r="T23" s="28">
        <f>T20+T21-T22</f>
        <v/>
      </c>
      <c r="U23" s="28">
        <f>U20+U21-U22</f>
        <v/>
      </c>
      <c r="V23" s="28">
        <f>V20+V21-V22</f>
        <v/>
      </c>
      <c r="W23" s="28">
        <f>W20+W21-W22</f>
        <v/>
      </c>
      <c r="X23" s="28">
        <f>X20+X21-X22</f>
        <v/>
      </c>
      <c r="Y23" s="28">
        <f>Y20+Y21-Y22</f>
        <v/>
      </c>
      <c r="Z23" s="28">
        <f>Z20+Z21-Z22</f>
        <v/>
      </c>
      <c r="AA23" s="28">
        <f>AA20+AA21-AA22</f>
        <v/>
      </c>
      <c r="AB23" s="28">
        <f>AB20+AB21-AB22</f>
        <v/>
      </c>
      <c r="AC23" s="28">
        <f>AC20+AC21-AC22</f>
        <v/>
      </c>
    </row>
    <row r="24">
      <c r="A24" s="3" t="inlineStr">
        <is>
          <t>Pagantes médios</t>
        </is>
      </c>
      <c r="B24" s="3" t="inlineStr">
        <is>
          <t>n1</t>
        </is>
      </c>
      <c r="C24" s="26">
        <f>(C20+C23)/2</f>
        <v/>
      </c>
      <c r="D24" s="26">
        <f>(D20+D23)/2</f>
        <v/>
      </c>
      <c r="E24" s="26">
        <f>(E20+E23)/2</f>
        <v/>
      </c>
      <c r="F24" s="26">
        <f>(F20+F23)/2</f>
        <v/>
      </c>
      <c r="G24" s="26">
        <f>(G20+G23)/2</f>
        <v/>
      </c>
      <c r="H24" s="26">
        <f>(H20+H23)/2</f>
        <v/>
      </c>
      <c r="I24" s="26">
        <f>(I20+I23)/2</f>
        <v/>
      </c>
      <c r="J24" s="26">
        <f>(J20+J23)/2</f>
        <v/>
      </c>
      <c r="K24" s="26">
        <f>(K20+K23)/2</f>
        <v/>
      </c>
      <c r="L24" s="26">
        <f>(L20+L23)/2</f>
        <v/>
      </c>
      <c r="M24" s="26">
        <f>(M20+M23)/2</f>
        <v/>
      </c>
      <c r="N24" s="26">
        <f>(N20+N23)/2</f>
        <v/>
      </c>
      <c r="O24" s="26">
        <f>(O20+O23)/2</f>
        <v/>
      </c>
      <c r="P24" s="26">
        <f>(P20+P23)/2</f>
        <v/>
      </c>
      <c r="Q24" s="26">
        <f>(Q20+Q23)/2</f>
        <v/>
      </c>
      <c r="R24" s="26">
        <f>(R20+R23)/2</f>
        <v/>
      </c>
      <c r="S24" s="26">
        <f>(S20+S23)/2</f>
        <v/>
      </c>
      <c r="T24" s="26">
        <f>(T20+T23)/2</f>
        <v/>
      </c>
      <c r="U24" s="26">
        <f>(U20+U23)/2</f>
        <v/>
      </c>
      <c r="V24" s="26">
        <f>(V20+V23)/2</f>
        <v/>
      </c>
      <c r="W24" s="26">
        <f>(W20+W23)/2</f>
        <v/>
      </c>
      <c r="X24" s="26">
        <f>(X20+X23)/2</f>
        <v/>
      </c>
      <c r="Y24" s="26">
        <f>(Y20+Y23)/2</f>
        <v/>
      </c>
      <c r="Z24" s="26">
        <f>(Z20+Z23)/2</f>
        <v/>
      </c>
      <c r="AA24" s="26">
        <f>(AA20+AA23)/2</f>
        <v/>
      </c>
      <c r="AB24" s="26">
        <f>(AB20+AB23)/2</f>
        <v/>
      </c>
      <c r="AC24" s="26">
        <f>(AC20+AC23)/2</f>
        <v/>
      </c>
    </row>
    <row r="25">
      <c r="A25" s="3" t="inlineStr">
        <is>
          <t>no Solo</t>
        </is>
      </c>
      <c r="B25" s="3" t="inlineStr">
        <is>
          <t>n1</t>
        </is>
      </c>
      <c r="C25" s="26">
        <f>C24*Premissas!$B$52</f>
        <v/>
      </c>
      <c r="D25" s="26">
        <f>D24*Premissas!$B$52</f>
        <v/>
      </c>
      <c r="E25" s="26">
        <f>E24*Premissas!$B$52</f>
        <v/>
      </c>
      <c r="F25" s="26">
        <f>F24*Premissas!$B$52</f>
        <v/>
      </c>
      <c r="G25" s="26">
        <f>G24*Premissas!$B$52</f>
        <v/>
      </c>
      <c r="H25" s="26">
        <f>H24*Premissas!$B$52</f>
        <v/>
      </c>
      <c r="I25" s="26">
        <f>I24*Premissas!$B$52</f>
        <v/>
      </c>
      <c r="J25" s="26">
        <f>J24*Premissas!$B$52</f>
        <v/>
      </c>
      <c r="K25" s="26">
        <f>K24*Premissas!$B$52</f>
        <v/>
      </c>
      <c r="L25" s="26">
        <f>L24*Premissas!$B$52</f>
        <v/>
      </c>
      <c r="M25" s="26">
        <f>M24*Premissas!$B$52</f>
        <v/>
      </c>
      <c r="N25" s="26">
        <f>N24*Premissas!$B$52</f>
        <v/>
      </c>
      <c r="O25" s="26">
        <f>O24*Premissas!$B$52</f>
        <v/>
      </c>
      <c r="P25" s="26">
        <f>P24*Premissas!$B$52</f>
        <v/>
      </c>
      <c r="Q25" s="26">
        <f>Q24*Premissas!$B$52</f>
        <v/>
      </c>
      <c r="R25" s="26">
        <f>R24*Premissas!$B$52</f>
        <v/>
      </c>
      <c r="S25" s="26">
        <f>S24*Premissas!$B$52</f>
        <v/>
      </c>
      <c r="T25" s="26">
        <f>T24*Premissas!$B$52</f>
        <v/>
      </c>
      <c r="U25" s="26">
        <f>U24*Premissas!$B$52</f>
        <v/>
      </c>
      <c r="V25" s="26">
        <f>V24*Premissas!$B$52</f>
        <v/>
      </c>
      <c r="W25" s="26">
        <f>W24*Premissas!$B$52</f>
        <v/>
      </c>
      <c r="X25" s="26">
        <f>X24*Premissas!$B$52</f>
        <v/>
      </c>
      <c r="Y25" s="26">
        <f>Y24*Premissas!$B$52</f>
        <v/>
      </c>
      <c r="Z25" s="26">
        <f>Z24*Premissas!$B$52</f>
        <v/>
      </c>
      <c r="AA25" s="26">
        <f>AA24*Premissas!$B$52</f>
        <v/>
      </c>
      <c r="AB25" s="26">
        <f>AB24*Premissas!$B$52</f>
        <v/>
      </c>
      <c r="AC25" s="26">
        <f>AC24*Premissas!$B$52</f>
        <v/>
      </c>
    </row>
    <row r="26">
      <c r="A26" s="3" t="inlineStr">
        <is>
          <t>no Equipe</t>
        </is>
      </c>
      <c r="B26" s="3" t="inlineStr">
        <is>
          <t>n1</t>
        </is>
      </c>
      <c r="C26" s="26">
        <f>C24-C25</f>
        <v/>
      </c>
      <c r="D26" s="26">
        <f>D24-D25</f>
        <v/>
      </c>
      <c r="E26" s="26">
        <f>E24-E25</f>
        <v/>
      </c>
      <c r="F26" s="26">
        <f>F24-F25</f>
        <v/>
      </c>
      <c r="G26" s="26">
        <f>G24-G25</f>
        <v/>
      </c>
      <c r="H26" s="26">
        <f>H24-H25</f>
        <v/>
      </c>
      <c r="I26" s="26">
        <f>I24-I25</f>
        <v/>
      </c>
      <c r="J26" s="26">
        <f>J24-J25</f>
        <v/>
      </c>
      <c r="K26" s="26">
        <f>K24-K25</f>
        <v/>
      </c>
      <c r="L26" s="26">
        <f>L24-L25</f>
        <v/>
      </c>
      <c r="M26" s="26">
        <f>M24-M25</f>
        <v/>
      </c>
      <c r="N26" s="26">
        <f>N24-N25</f>
        <v/>
      </c>
      <c r="O26" s="26">
        <f>O24-O25</f>
        <v/>
      </c>
      <c r="P26" s="26">
        <f>P24-P25</f>
        <v/>
      </c>
      <c r="Q26" s="26">
        <f>Q24-Q25</f>
        <v/>
      </c>
      <c r="R26" s="26">
        <f>R24-R25</f>
        <v/>
      </c>
      <c r="S26" s="26">
        <f>S24-S25</f>
        <v/>
      </c>
      <c r="T26" s="26">
        <f>T24-T25</f>
        <v/>
      </c>
      <c r="U26" s="26">
        <f>U24-U25</f>
        <v/>
      </c>
      <c r="V26" s="26">
        <f>V24-V25</f>
        <v/>
      </c>
      <c r="W26" s="26">
        <f>W24-W25</f>
        <v/>
      </c>
      <c r="X26" s="26">
        <f>X24-X25</f>
        <v/>
      </c>
      <c r="Y26" s="26">
        <f>Y24-Y25</f>
        <v/>
      </c>
      <c r="Z26" s="26">
        <f>Z24-Z25</f>
        <v/>
      </c>
      <c r="AA26" s="26">
        <f>AA24-AA25</f>
        <v/>
      </c>
      <c r="AB26" s="26">
        <f>AB24-AB25</f>
        <v/>
      </c>
      <c r="AC26" s="26">
        <f>AC24-AC25</f>
        <v/>
      </c>
    </row>
    <row r="27">
      <c r="A27" s="24" t="inlineStr">
        <is>
          <t>Receita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>
      <c r="A28" s="3" t="inlineStr">
        <is>
          <t>Receita bruta</t>
        </is>
      </c>
      <c r="B28" s="3" t="inlineStr">
        <is>
          <t>brl</t>
        </is>
      </c>
      <c r="C28" s="29">
        <f>C25*Premissas!$C$6+C26*Premissas!$C$7</f>
        <v/>
      </c>
      <c r="D28" s="29">
        <f>D25*Premissas!$C$6+D26*Premissas!$C$7</f>
        <v/>
      </c>
      <c r="E28" s="29">
        <f>E25*Premissas!$C$6+E26*Premissas!$C$7</f>
        <v/>
      </c>
      <c r="F28" s="29">
        <f>F25*Premissas!$C$6+F26*Premissas!$C$7</f>
        <v/>
      </c>
      <c r="G28" s="29">
        <f>G25*Premissas!$C$6+G26*Premissas!$C$7</f>
        <v/>
      </c>
      <c r="H28" s="29">
        <f>H25*Premissas!$C$6+H26*Premissas!$C$7</f>
        <v/>
      </c>
      <c r="I28" s="29">
        <f>I25*Premissas!$C$6+I26*Premissas!$C$7</f>
        <v/>
      </c>
      <c r="J28" s="29">
        <f>J25*Premissas!$C$6+J26*Premissas!$C$7</f>
        <v/>
      </c>
      <c r="K28" s="29">
        <f>K25*Premissas!$C$6+K26*Premissas!$C$7</f>
        <v/>
      </c>
      <c r="L28" s="29">
        <f>L25*Premissas!$C$6+L26*Premissas!$C$7</f>
        <v/>
      </c>
      <c r="M28" s="29">
        <f>M25*Premissas!$C$6+M26*Premissas!$C$7</f>
        <v/>
      </c>
      <c r="N28" s="29">
        <f>N25*Premissas!$C$6+N26*Premissas!$C$7</f>
        <v/>
      </c>
      <c r="O28" s="29">
        <f>O25*Premissas!$C$6+O26*Premissas!$C$7</f>
        <v/>
      </c>
      <c r="P28" s="29">
        <f>P25*Premissas!$C$6+P26*Premissas!$C$7</f>
        <v/>
      </c>
      <c r="Q28" s="29">
        <f>Q25*Premissas!$C$6+Q26*Premissas!$C$7</f>
        <v/>
      </c>
      <c r="R28" s="29">
        <f>R25*Premissas!$C$6+R26*Premissas!$C$7</f>
        <v/>
      </c>
      <c r="S28" s="29">
        <f>S25*Premissas!$C$6+S26*Premissas!$C$7</f>
        <v/>
      </c>
      <c r="T28" s="29">
        <f>T25*Premissas!$C$6+T26*Premissas!$C$7</f>
        <v/>
      </c>
      <c r="U28" s="29">
        <f>U25*Premissas!$C$6+U26*Premissas!$C$7</f>
        <v/>
      </c>
      <c r="V28" s="29">
        <f>V25*Premissas!$C$6+V26*Premissas!$C$7</f>
        <v/>
      </c>
      <c r="W28" s="29">
        <f>W25*Premissas!$C$6+W26*Premissas!$C$7</f>
        <v/>
      </c>
      <c r="X28" s="29">
        <f>X25*Premissas!$C$6+X26*Premissas!$C$7</f>
        <v/>
      </c>
      <c r="Y28" s="29">
        <f>Y25*Premissas!$C$6+Y26*Premissas!$C$7</f>
        <v/>
      </c>
      <c r="Z28" s="29">
        <f>Z25*Premissas!$C$6+Z26*Premissas!$C$7</f>
        <v/>
      </c>
      <c r="AA28" s="29">
        <f>AA25*Premissas!$C$6+AA26*Premissas!$C$7</f>
        <v/>
      </c>
      <c r="AB28" s="29">
        <f>AB25*Premissas!$C$6+AB26*Premissas!$C$7</f>
        <v/>
      </c>
      <c r="AC28" s="29">
        <f>AC25*Premissas!$C$6+AC26*Premissas!$C$7</f>
        <v/>
      </c>
    </row>
    <row r="29">
      <c r="A29" s="3" t="inlineStr">
        <is>
          <t>Taxa de pagamento</t>
        </is>
      </c>
      <c r="B29" s="3" t="inlineStr">
        <is>
          <t>brl</t>
        </is>
      </c>
      <c r="C29" s="29">
        <f>C28*(Premissas!$C$8*Premissas!$C$9+(1-Premissas!$C$8)*Premissas!$C$10)</f>
        <v/>
      </c>
      <c r="D29" s="29">
        <f>D28*(Premissas!$C$8*Premissas!$C$9+(1-Premissas!$C$8)*Premissas!$C$10)</f>
        <v/>
      </c>
      <c r="E29" s="29">
        <f>E28*(Premissas!$C$8*Premissas!$C$9+(1-Premissas!$C$8)*Premissas!$C$10)</f>
        <v/>
      </c>
      <c r="F29" s="29">
        <f>F28*(Premissas!$C$8*Premissas!$C$9+(1-Premissas!$C$8)*Premissas!$C$10)</f>
        <v/>
      </c>
      <c r="G29" s="29">
        <f>G28*(Premissas!$C$8*Premissas!$C$9+(1-Premissas!$C$8)*Premissas!$C$10)</f>
        <v/>
      </c>
      <c r="H29" s="29">
        <f>H28*(Premissas!$C$8*Premissas!$C$9+(1-Premissas!$C$8)*Premissas!$C$10)</f>
        <v/>
      </c>
      <c r="I29" s="29">
        <f>I28*(Premissas!$C$8*Premissas!$C$9+(1-Premissas!$C$8)*Premissas!$C$10)</f>
        <v/>
      </c>
      <c r="J29" s="29">
        <f>J28*(Premissas!$C$8*Premissas!$C$9+(1-Premissas!$C$8)*Premissas!$C$10)</f>
        <v/>
      </c>
      <c r="K29" s="29">
        <f>K28*(Premissas!$C$8*Premissas!$C$9+(1-Premissas!$C$8)*Premissas!$C$10)</f>
        <v/>
      </c>
      <c r="L29" s="29">
        <f>L28*(Premissas!$C$8*Premissas!$C$9+(1-Premissas!$C$8)*Premissas!$C$10)</f>
        <v/>
      </c>
      <c r="M29" s="29">
        <f>M28*(Premissas!$C$8*Premissas!$C$9+(1-Premissas!$C$8)*Premissas!$C$10)</f>
        <v/>
      </c>
      <c r="N29" s="29">
        <f>N28*(Premissas!$C$8*Premissas!$C$9+(1-Premissas!$C$8)*Premissas!$C$10)</f>
        <v/>
      </c>
      <c r="O29" s="29">
        <f>O28*(Premissas!$C$8*Premissas!$C$9+(1-Premissas!$C$8)*Premissas!$C$10)</f>
        <v/>
      </c>
      <c r="P29" s="29">
        <f>P28*(Premissas!$C$8*Premissas!$C$9+(1-Premissas!$C$8)*Premissas!$C$10)</f>
        <v/>
      </c>
      <c r="Q29" s="29">
        <f>Q28*(Premissas!$C$8*Premissas!$C$9+(1-Premissas!$C$8)*Premissas!$C$10)</f>
        <v/>
      </c>
      <c r="R29" s="29">
        <f>R28*(Premissas!$C$8*Premissas!$C$9+(1-Premissas!$C$8)*Premissas!$C$10)</f>
        <v/>
      </c>
      <c r="S29" s="29">
        <f>S28*(Premissas!$C$8*Premissas!$C$9+(1-Premissas!$C$8)*Premissas!$C$10)</f>
        <v/>
      </c>
      <c r="T29" s="29">
        <f>T28*(Premissas!$C$8*Premissas!$C$9+(1-Premissas!$C$8)*Premissas!$C$10)</f>
        <v/>
      </c>
      <c r="U29" s="29">
        <f>U28*(Premissas!$C$8*Premissas!$C$9+(1-Premissas!$C$8)*Premissas!$C$10)</f>
        <v/>
      </c>
      <c r="V29" s="29">
        <f>V28*(Premissas!$C$8*Premissas!$C$9+(1-Premissas!$C$8)*Premissas!$C$10)</f>
        <v/>
      </c>
      <c r="W29" s="29">
        <f>W28*(Premissas!$C$8*Premissas!$C$9+(1-Premissas!$C$8)*Premissas!$C$10)</f>
        <v/>
      </c>
      <c r="X29" s="29">
        <f>X28*(Premissas!$C$8*Premissas!$C$9+(1-Premissas!$C$8)*Premissas!$C$10)</f>
        <v/>
      </c>
      <c r="Y29" s="29">
        <f>Y28*(Premissas!$C$8*Premissas!$C$9+(1-Premissas!$C$8)*Premissas!$C$10)</f>
        <v/>
      </c>
      <c r="Z29" s="29">
        <f>Z28*(Premissas!$C$8*Premissas!$C$9+(1-Premissas!$C$8)*Premissas!$C$10)</f>
        <v/>
      </c>
      <c r="AA29" s="29">
        <f>AA28*(Premissas!$C$8*Premissas!$C$9+(1-Premissas!$C$8)*Premissas!$C$10)</f>
        <v/>
      </c>
      <c r="AB29" s="29">
        <f>AB28*(Premissas!$C$8*Premissas!$C$9+(1-Premissas!$C$8)*Premissas!$C$10)</f>
        <v/>
      </c>
      <c r="AC29" s="29">
        <f>AC28*(Premissas!$C$8*Premissas!$C$9+(1-Premissas!$C$8)*Premissas!$C$10)</f>
        <v/>
      </c>
    </row>
    <row r="30">
      <c r="A30" s="3" t="inlineStr">
        <is>
          <t>Simples Nacional</t>
        </is>
      </c>
      <c r="B30" s="3" t="inlineStr">
        <is>
          <t>brl</t>
        </is>
      </c>
      <c r="C30" s="29">
        <f>C28*Premissas!$C$11</f>
        <v/>
      </c>
      <c r="D30" s="29">
        <f>D28*Premissas!$C$11</f>
        <v/>
      </c>
      <c r="E30" s="29">
        <f>E28*Premissas!$C$11</f>
        <v/>
      </c>
      <c r="F30" s="29">
        <f>F28*Premissas!$C$11</f>
        <v/>
      </c>
      <c r="G30" s="29">
        <f>G28*Premissas!$C$11</f>
        <v/>
      </c>
      <c r="H30" s="29">
        <f>H28*Premissas!$C$11</f>
        <v/>
      </c>
      <c r="I30" s="29">
        <f>I28*Premissas!$C$11</f>
        <v/>
      </c>
      <c r="J30" s="29">
        <f>J28*Premissas!$C$11</f>
        <v/>
      </c>
      <c r="K30" s="29">
        <f>K28*Premissas!$C$11</f>
        <v/>
      </c>
      <c r="L30" s="29">
        <f>L28*Premissas!$C$11</f>
        <v/>
      </c>
      <c r="M30" s="29">
        <f>M28*Premissas!$C$11</f>
        <v/>
      </c>
      <c r="N30" s="29">
        <f>N28*Premissas!$C$11</f>
        <v/>
      </c>
      <c r="O30" s="29">
        <f>O28*Premissas!$C$11</f>
        <v/>
      </c>
      <c r="P30" s="29">
        <f>P28*Premissas!$C$11</f>
        <v/>
      </c>
      <c r="Q30" s="29">
        <f>Q28*Premissas!$C$11</f>
        <v/>
      </c>
      <c r="R30" s="29">
        <f>R28*Premissas!$C$11</f>
        <v/>
      </c>
      <c r="S30" s="29">
        <f>S28*Premissas!$C$11</f>
        <v/>
      </c>
      <c r="T30" s="29">
        <f>T28*Premissas!$C$11</f>
        <v/>
      </c>
      <c r="U30" s="29">
        <f>U28*Premissas!$C$11</f>
        <v/>
      </c>
      <c r="V30" s="29">
        <f>V28*Premissas!$C$11</f>
        <v/>
      </c>
      <c r="W30" s="29">
        <f>W28*Premissas!$C$11</f>
        <v/>
      </c>
      <c r="X30" s="29">
        <f>X28*Premissas!$C$11</f>
        <v/>
      </c>
      <c r="Y30" s="29">
        <f>Y28*Premissas!$C$11</f>
        <v/>
      </c>
      <c r="Z30" s="29">
        <f>Z28*Premissas!$C$11</f>
        <v/>
      </c>
      <c r="AA30" s="29">
        <f>AA28*Premissas!$C$11</f>
        <v/>
      </c>
      <c r="AB30" s="29">
        <f>AB28*Premissas!$C$11</f>
        <v/>
      </c>
      <c r="AC30" s="29">
        <f>AC28*Premissas!$C$11</f>
        <v/>
      </c>
    </row>
    <row r="31">
      <c r="A31" s="27" t="inlineStr">
        <is>
          <t>Receita líquida</t>
        </is>
      </c>
      <c r="B31" s="3" t="inlineStr">
        <is>
          <t>brl</t>
        </is>
      </c>
      <c r="C31" s="30">
        <f>C28-C29-C30</f>
        <v/>
      </c>
      <c r="D31" s="30">
        <f>D28-D29-D30</f>
        <v/>
      </c>
      <c r="E31" s="30">
        <f>E28-E29-E30</f>
        <v/>
      </c>
      <c r="F31" s="30">
        <f>F28-F29-F30</f>
        <v/>
      </c>
      <c r="G31" s="30">
        <f>G28-G29-G30</f>
        <v/>
      </c>
      <c r="H31" s="30">
        <f>H28-H29-H30</f>
        <v/>
      </c>
      <c r="I31" s="30">
        <f>I28-I29-I30</f>
        <v/>
      </c>
      <c r="J31" s="30">
        <f>J28-J29-J30</f>
        <v/>
      </c>
      <c r="K31" s="30">
        <f>K28-K29-K30</f>
        <v/>
      </c>
      <c r="L31" s="30">
        <f>L28-L29-L30</f>
        <v/>
      </c>
      <c r="M31" s="30">
        <f>M28-M29-M30</f>
        <v/>
      </c>
      <c r="N31" s="30">
        <f>N28-N29-N30</f>
        <v/>
      </c>
      <c r="O31" s="30">
        <f>O28-O29-O30</f>
        <v/>
      </c>
      <c r="P31" s="30">
        <f>P28-P29-P30</f>
        <v/>
      </c>
      <c r="Q31" s="30">
        <f>Q28-Q29-Q30</f>
        <v/>
      </c>
      <c r="R31" s="30">
        <f>R28-R29-R30</f>
        <v/>
      </c>
      <c r="S31" s="30">
        <f>S28-S29-S30</f>
        <v/>
      </c>
      <c r="T31" s="30">
        <f>T28-T29-T30</f>
        <v/>
      </c>
      <c r="U31" s="30">
        <f>U28-U29-U30</f>
        <v/>
      </c>
      <c r="V31" s="30">
        <f>V28-V29-V30</f>
        <v/>
      </c>
      <c r="W31" s="30">
        <f>W28-W29-W30</f>
        <v/>
      </c>
      <c r="X31" s="30">
        <f>X28-X29-X30</f>
        <v/>
      </c>
      <c r="Y31" s="30">
        <f>Y28-Y29-Y30</f>
        <v/>
      </c>
      <c r="Z31" s="30">
        <f>Z28-Z29-Z30</f>
        <v/>
      </c>
      <c r="AA31" s="30">
        <f>AA28-AA29-AA30</f>
        <v/>
      </c>
      <c r="AB31" s="30">
        <f>AB28-AB29-AB30</f>
        <v/>
      </c>
      <c r="AC31" s="30">
        <f>AC28-AC29-AC30</f>
        <v/>
      </c>
    </row>
    <row r="32">
      <c r="A32" s="24" t="inlineStr">
        <is>
          <t>Custos em dinheiro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>
      <c r="A33" s="3" t="inlineStr">
        <is>
          <t>Supabase</t>
        </is>
      </c>
      <c r="B33" s="3" t="inlineStr">
        <is>
          <t>brl</t>
        </is>
      </c>
      <c r="C33" s="29">
        <f>(Premissas!$C$12+IF(C17&gt;Premissas!$C$29,Premissas!$C$30,IF(C17&gt;Premissas!$C$27,Premissas!$C$28,IF(C17&gt;Premissas!$C$25,Premissas!$C$26,0))))*Premissas!$C$5</f>
        <v/>
      </c>
      <c r="D33" s="29">
        <f>(Premissas!$C$12+IF(D17&gt;Premissas!$C$29,Premissas!$C$30,IF(D17&gt;Premissas!$C$27,Premissas!$C$28,IF(D17&gt;Premissas!$C$25,Premissas!$C$26,0))))*Premissas!$C$5</f>
        <v/>
      </c>
      <c r="E33" s="29">
        <f>(Premissas!$C$12+IF(E17&gt;Premissas!$C$29,Premissas!$C$30,IF(E17&gt;Premissas!$C$27,Premissas!$C$28,IF(E17&gt;Premissas!$C$25,Premissas!$C$26,0))))*Premissas!$C$5</f>
        <v/>
      </c>
      <c r="F33" s="29">
        <f>(Premissas!$C$12+IF(F17&gt;Premissas!$C$29,Premissas!$C$30,IF(F17&gt;Premissas!$C$27,Premissas!$C$28,IF(F17&gt;Premissas!$C$25,Premissas!$C$26,0))))*Premissas!$C$5</f>
        <v/>
      </c>
      <c r="G33" s="29">
        <f>(Premissas!$C$12+IF(G17&gt;Premissas!$C$29,Premissas!$C$30,IF(G17&gt;Premissas!$C$27,Premissas!$C$28,IF(G17&gt;Premissas!$C$25,Premissas!$C$26,0))))*Premissas!$C$5</f>
        <v/>
      </c>
      <c r="H33" s="29">
        <f>(Premissas!$C$12+IF(H17&gt;Premissas!$C$29,Premissas!$C$30,IF(H17&gt;Premissas!$C$27,Premissas!$C$28,IF(H17&gt;Premissas!$C$25,Premissas!$C$26,0))))*Premissas!$C$5</f>
        <v/>
      </c>
      <c r="I33" s="29">
        <f>(Premissas!$C$12+IF(I17&gt;Premissas!$C$29,Premissas!$C$30,IF(I17&gt;Premissas!$C$27,Premissas!$C$28,IF(I17&gt;Premissas!$C$25,Premissas!$C$26,0))))*Premissas!$C$5</f>
        <v/>
      </c>
      <c r="J33" s="29">
        <f>(Premissas!$C$12+IF(J17&gt;Premissas!$C$29,Premissas!$C$30,IF(J17&gt;Premissas!$C$27,Premissas!$C$28,IF(J17&gt;Premissas!$C$25,Premissas!$C$26,0))))*Premissas!$C$5</f>
        <v/>
      </c>
      <c r="K33" s="29">
        <f>(Premissas!$C$12+IF(K17&gt;Premissas!$C$29,Premissas!$C$30,IF(K17&gt;Premissas!$C$27,Premissas!$C$28,IF(K17&gt;Premissas!$C$25,Premissas!$C$26,0))))*Premissas!$C$5</f>
        <v/>
      </c>
      <c r="L33" s="29">
        <f>(Premissas!$C$12+IF(L17&gt;Premissas!$C$29,Premissas!$C$30,IF(L17&gt;Premissas!$C$27,Premissas!$C$28,IF(L17&gt;Premissas!$C$25,Premissas!$C$26,0))))*Premissas!$C$5</f>
        <v/>
      </c>
      <c r="M33" s="29">
        <f>(Premissas!$C$12+IF(M17&gt;Premissas!$C$29,Premissas!$C$30,IF(M17&gt;Premissas!$C$27,Premissas!$C$28,IF(M17&gt;Premissas!$C$25,Premissas!$C$26,0))))*Premissas!$C$5</f>
        <v/>
      </c>
      <c r="N33" s="29">
        <f>(Premissas!$C$12+IF(N17&gt;Premissas!$C$29,Premissas!$C$30,IF(N17&gt;Premissas!$C$27,Premissas!$C$28,IF(N17&gt;Premissas!$C$25,Premissas!$C$26,0))))*Premissas!$C$5</f>
        <v/>
      </c>
      <c r="O33" s="29">
        <f>(Premissas!$C$12+IF(O17&gt;Premissas!$C$29,Premissas!$C$30,IF(O17&gt;Premissas!$C$27,Premissas!$C$28,IF(O17&gt;Premissas!$C$25,Premissas!$C$26,0))))*Premissas!$C$5</f>
        <v/>
      </c>
      <c r="P33" s="29">
        <f>(Premissas!$C$12+IF(P17&gt;Premissas!$C$29,Premissas!$C$30,IF(P17&gt;Premissas!$C$27,Premissas!$C$28,IF(P17&gt;Premissas!$C$25,Premissas!$C$26,0))))*Premissas!$C$5</f>
        <v/>
      </c>
      <c r="Q33" s="29">
        <f>(Premissas!$C$12+IF(Q17&gt;Premissas!$C$29,Premissas!$C$30,IF(Q17&gt;Premissas!$C$27,Premissas!$C$28,IF(Q17&gt;Premissas!$C$25,Premissas!$C$26,0))))*Premissas!$C$5</f>
        <v/>
      </c>
      <c r="R33" s="29">
        <f>(Premissas!$C$12+IF(R17&gt;Premissas!$C$29,Premissas!$C$30,IF(R17&gt;Premissas!$C$27,Premissas!$C$28,IF(R17&gt;Premissas!$C$25,Premissas!$C$26,0))))*Premissas!$C$5</f>
        <v/>
      </c>
      <c r="S33" s="29">
        <f>(Premissas!$C$12+IF(S17&gt;Premissas!$C$29,Premissas!$C$30,IF(S17&gt;Premissas!$C$27,Premissas!$C$28,IF(S17&gt;Premissas!$C$25,Premissas!$C$26,0))))*Premissas!$C$5</f>
        <v/>
      </c>
      <c r="T33" s="29">
        <f>(Premissas!$C$12+IF(T17&gt;Premissas!$C$29,Premissas!$C$30,IF(T17&gt;Premissas!$C$27,Premissas!$C$28,IF(T17&gt;Premissas!$C$25,Premissas!$C$26,0))))*Premissas!$C$5</f>
        <v/>
      </c>
      <c r="U33" s="29">
        <f>(Premissas!$C$12+IF(U17&gt;Premissas!$C$29,Premissas!$C$30,IF(U17&gt;Premissas!$C$27,Premissas!$C$28,IF(U17&gt;Premissas!$C$25,Premissas!$C$26,0))))*Premissas!$C$5</f>
        <v/>
      </c>
      <c r="V33" s="29">
        <f>(Premissas!$C$12+IF(V17&gt;Premissas!$C$29,Premissas!$C$30,IF(V17&gt;Premissas!$C$27,Premissas!$C$28,IF(V17&gt;Premissas!$C$25,Premissas!$C$26,0))))*Premissas!$C$5</f>
        <v/>
      </c>
      <c r="W33" s="29">
        <f>(Premissas!$C$12+IF(W17&gt;Premissas!$C$29,Premissas!$C$30,IF(W17&gt;Premissas!$C$27,Premissas!$C$28,IF(W17&gt;Premissas!$C$25,Premissas!$C$26,0))))*Premissas!$C$5</f>
        <v/>
      </c>
      <c r="X33" s="29">
        <f>(Premissas!$C$12+IF(X17&gt;Premissas!$C$29,Premissas!$C$30,IF(X17&gt;Premissas!$C$27,Premissas!$C$28,IF(X17&gt;Premissas!$C$25,Premissas!$C$26,0))))*Premissas!$C$5</f>
        <v/>
      </c>
      <c r="Y33" s="29">
        <f>(Premissas!$C$12+IF(Y17&gt;Premissas!$C$29,Premissas!$C$30,IF(Y17&gt;Premissas!$C$27,Premissas!$C$28,IF(Y17&gt;Premissas!$C$25,Premissas!$C$26,0))))*Premissas!$C$5</f>
        <v/>
      </c>
      <c r="Z33" s="29">
        <f>(Premissas!$C$12+IF(Z17&gt;Premissas!$C$29,Premissas!$C$30,IF(Z17&gt;Premissas!$C$27,Premissas!$C$28,IF(Z17&gt;Premissas!$C$25,Premissas!$C$26,0))))*Premissas!$C$5</f>
        <v/>
      </c>
      <c r="AA33" s="29">
        <f>(Premissas!$C$12+IF(AA17&gt;Premissas!$C$29,Premissas!$C$30,IF(AA17&gt;Premissas!$C$27,Premissas!$C$28,IF(AA17&gt;Premissas!$C$25,Premissas!$C$26,0))))*Premissas!$C$5</f>
        <v/>
      </c>
      <c r="AB33" s="29">
        <f>(Premissas!$C$12+IF(AB17&gt;Premissas!$C$29,Premissas!$C$30,IF(AB17&gt;Premissas!$C$27,Premissas!$C$28,IF(AB17&gt;Premissas!$C$25,Premissas!$C$26,0))))*Premissas!$C$5</f>
        <v/>
      </c>
      <c r="AC33" s="29">
        <f>(Premissas!$C$12+IF(AC17&gt;Premissas!$C$29,Premissas!$C$30,IF(AC17&gt;Premissas!$C$27,Premissas!$C$28,IF(AC17&gt;Premissas!$C$25,Premissas!$C$26,0))))*Premissas!$C$5</f>
        <v/>
      </c>
    </row>
    <row r="34">
      <c r="A34" s="3" t="inlineStr">
        <is>
          <t>Vercel</t>
        </is>
      </c>
      <c r="B34" s="3" t="inlineStr">
        <is>
          <t>brl</t>
        </is>
      </c>
      <c r="C34" s="29">
        <f>(Premissas!$C$13+MAX(0,C17*Premissas!$C$15-Premissas!$C$14))*Premissas!$C$5</f>
        <v/>
      </c>
      <c r="D34" s="29">
        <f>(Premissas!$C$13+MAX(0,D17*Premissas!$C$15-Premissas!$C$14))*Premissas!$C$5</f>
        <v/>
      </c>
      <c r="E34" s="29">
        <f>(Premissas!$C$13+MAX(0,E17*Premissas!$C$15-Premissas!$C$14))*Premissas!$C$5</f>
        <v/>
      </c>
      <c r="F34" s="29">
        <f>(Premissas!$C$13+MAX(0,F17*Premissas!$C$15-Premissas!$C$14))*Premissas!$C$5</f>
        <v/>
      </c>
      <c r="G34" s="29">
        <f>(Premissas!$C$13+MAX(0,G17*Premissas!$C$15-Premissas!$C$14))*Premissas!$C$5</f>
        <v/>
      </c>
      <c r="H34" s="29">
        <f>(Premissas!$C$13+MAX(0,H17*Premissas!$C$15-Premissas!$C$14))*Premissas!$C$5</f>
        <v/>
      </c>
      <c r="I34" s="29">
        <f>(Premissas!$C$13+MAX(0,I17*Premissas!$C$15-Premissas!$C$14))*Premissas!$C$5</f>
        <v/>
      </c>
      <c r="J34" s="29">
        <f>(Premissas!$C$13+MAX(0,J17*Premissas!$C$15-Premissas!$C$14))*Premissas!$C$5</f>
        <v/>
      </c>
      <c r="K34" s="29">
        <f>(Premissas!$C$13+MAX(0,K17*Premissas!$C$15-Premissas!$C$14))*Premissas!$C$5</f>
        <v/>
      </c>
      <c r="L34" s="29">
        <f>(Premissas!$C$13+MAX(0,L17*Premissas!$C$15-Premissas!$C$14))*Premissas!$C$5</f>
        <v/>
      </c>
      <c r="M34" s="29">
        <f>(Premissas!$C$13+MAX(0,M17*Premissas!$C$15-Premissas!$C$14))*Premissas!$C$5</f>
        <v/>
      </c>
      <c r="N34" s="29">
        <f>(Premissas!$C$13+MAX(0,N17*Premissas!$C$15-Premissas!$C$14))*Premissas!$C$5</f>
        <v/>
      </c>
      <c r="O34" s="29">
        <f>(Premissas!$C$13+MAX(0,O17*Premissas!$C$15-Premissas!$C$14))*Premissas!$C$5</f>
        <v/>
      </c>
      <c r="P34" s="29">
        <f>(Premissas!$C$13+MAX(0,P17*Premissas!$C$15-Premissas!$C$14))*Premissas!$C$5</f>
        <v/>
      </c>
      <c r="Q34" s="29">
        <f>(Premissas!$C$13+MAX(0,Q17*Premissas!$C$15-Premissas!$C$14))*Premissas!$C$5</f>
        <v/>
      </c>
      <c r="R34" s="29">
        <f>(Premissas!$C$13+MAX(0,R17*Premissas!$C$15-Premissas!$C$14))*Premissas!$C$5</f>
        <v/>
      </c>
      <c r="S34" s="29">
        <f>(Premissas!$C$13+MAX(0,S17*Premissas!$C$15-Premissas!$C$14))*Premissas!$C$5</f>
        <v/>
      </c>
      <c r="T34" s="29">
        <f>(Premissas!$C$13+MAX(0,T17*Premissas!$C$15-Premissas!$C$14))*Premissas!$C$5</f>
        <v/>
      </c>
      <c r="U34" s="29">
        <f>(Premissas!$C$13+MAX(0,U17*Premissas!$C$15-Premissas!$C$14))*Premissas!$C$5</f>
        <v/>
      </c>
      <c r="V34" s="29">
        <f>(Premissas!$C$13+MAX(0,V17*Premissas!$C$15-Premissas!$C$14))*Premissas!$C$5</f>
        <v/>
      </c>
      <c r="W34" s="29">
        <f>(Premissas!$C$13+MAX(0,W17*Premissas!$C$15-Premissas!$C$14))*Premissas!$C$5</f>
        <v/>
      </c>
      <c r="X34" s="29">
        <f>(Premissas!$C$13+MAX(0,X17*Premissas!$C$15-Premissas!$C$14))*Premissas!$C$5</f>
        <v/>
      </c>
      <c r="Y34" s="29">
        <f>(Premissas!$C$13+MAX(0,Y17*Premissas!$C$15-Premissas!$C$14))*Premissas!$C$5</f>
        <v/>
      </c>
      <c r="Z34" s="29">
        <f>(Premissas!$C$13+MAX(0,Z17*Premissas!$C$15-Premissas!$C$14))*Premissas!$C$5</f>
        <v/>
      </c>
      <c r="AA34" s="29">
        <f>(Premissas!$C$13+MAX(0,AA17*Premissas!$C$15-Premissas!$C$14))*Premissas!$C$5</f>
        <v/>
      </c>
      <c r="AB34" s="29">
        <f>(Premissas!$C$13+MAX(0,AB17*Premissas!$C$15-Premissas!$C$14))*Premissas!$C$5</f>
        <v/>
      </c>
      <c r="AC34" s="29">
        <f>(Premissas!$C$13+MAX(0,AC17*Premissas!$C$15-Premissas!$C$14))*Premissas!$C$5</f>
        <v/>
      </c>
    </row>
    <row r="35">
      <c r="A35" s="3" t="inlineStr">
        <is>
          <t>Contabilidade e INSS do pró-labore</t>
        </is>
      </c>
      <c r="B35" s="3" t="inlineStr">
        <is>
          <t>brl</t>
        </is>
      </c>
      <c r="C35" s="29">
        <f>Premissas!$C$16+Premissas!$C$17*Premissas!$C$18</f>
        <v/>
      </c>
      <c r="D35" s="29">
        <f>Premissas!$C$16+Premissas!$C$17*Premissas!$C$18</f>
        <v/>
      </c>
      <c r="E35" s="29">
        <f>Premissas!$C$16+Premissas!$C$17*Premissas!$C$18</f>
        <v/>
      </c>
      <c r="F35" s="29">
        <f>Premissas!$C$16+Premissas!$C$17*Premissas!$C$18</f>
        <v/>
      </c>
      <c r="G35" s="29">
        <f>Premissas!$C$16+Premissas!$C$17*Premissas!$C$18</f>
        <v/>
      </c>
      <c r="H35" s="29">
        <f>Premissas!$C$16+Premissas!$C$17*Premissas!$C$18</f>
        <v/>
      </c>
      <c r="I35" s="29">
        <f>Premissas!$C$16+Premissas!$C$17*Premissas!$C$18</f>
        <v/>
      </c>
      <c r="J35" s="29">
        <f>Premissas!$C$16+Premissas!$C$17*Premissas!$C$18</f>
        <v/>
      </c>
      <c r="K35" s="29">
        <f>Premissas!$C$16+Premissas!$C$17*Premissas!$C$18</f>
        <v/>
      </c>
      <c r="L35" s="29">
        <f>Premissas!$C$16+Premissas!$C$17*Premissas!$C$18</f>
        <v/>
      </c>
      <c r="M35" s="29">
        <f>Premissas!$C$16+Premissas!$C$17*Premissas!$C$18</f>
        <v/>
      </c>
      <c r="N35" s="29">
        <f>Premissas!$C$16+Premissas!$C$17*Premissas!$C$18</f>
        <v/>
      </c>
      <c r="O35" s="29">
        <f>Premissas!$C$16+Premissas!$C$17*Premissas!$C$18</f>
        <v/>
      </c>
      <c r="P35" s="29">
        <f>Premissas!$C$16+Premissas!$C$17*Premissas!$C$18</f>
        <v/>
      </c>
      <c r="Q35" s="29">
        <f>Premissas!$C$16+Premissas!$C$17*Premissas!$C$18</f>
        <v/>
      </c>
      <c r="R35" s="29">
        <f>Premissas!$C$16+Premissas!$C$17*Premissas!$C$18</f>
        <v/>
      </c>
      <c r="S35" s="29">
        <f>Premissas!$C$16+Premissas!$C$17*Premissas!$C$18</f>
        <v/>
      </c>
      <c r="T35" s="29">
        <f>Premissas!$C$16+Premissas!$C$17*Premissas!$C$18</f>
        <v/>
      </c>
      <c r="U35" s="29">
        <f>Premissas!$C$16+Premissas!$C$17*Premissas!$C$18</f>
        <v/>
      </c>
      <c r="V35" s="29">
        <f>Premissas!$C$16+Premissas!$C$17*Premissas!$C$18</f>
        <v/>
      </c>
      <c r="W35" s="29">
        <f>Premissas!$C$16+Premissas!$C$17*Premissas!$C$18</f>
        <v/>
      </c>
      <c r="X35" s="29">
        <f>Premissas!$C$16+Premissas!$C$17*Premissas!$C$18</f>
        <v/>
      </c>
      <c r="Y35" s="29">
        <f>Premissas!$C$16+Premissas!$C$17*Premissas!$C$18</f>
        <v/>
      </c>
      <c r="Z35" s="29">
        <f>Premissas!$C$16+Premissas!$C$17*Premissas!$C$18</f>
        <v/>
      </c>
      <c r="AA35" s="29">
        <f>Premissas!$C$16+Premissas!$C$17*Premissas!$C$18</f>
        <v/>
      </c>
      <c r="AB35" s="29">
        <f>Premissas!$C$16+Premissas!$C$17*Premissas!$C$18</f>
        <v/>
      </c>
      <c r="AC35" s="29">
        <f>Premissas!$C$16+Premissas!$C$17*Premissas!$C$18</f>
        <v/>
      </c>
    </row>
    <row r="36">
      <c r="A36" s="3" t="inlineStr">
        <is>
          <t>Domínio e e-mail próprio</t>
        </is>
      </c>
      <c r="B36" s="3" t="inlineStr">
        <is>
          <t>brl</t>
        </is>
      </c>
      <c r="C36" s="29">
        <f>Premissas!$C$19+Premissas!$C$20</f>
        <v/>
      </c>
      <c r="D36" s="29">
        <f>Premissas!$C$19+Premissas!$C$20</f>
        <v/>
      </c>
      <c r="E36" s="29">
        <f>Premissas!$C$19+Premissas!$C$20</f>
        <v/>
      </c>
      <c r="F36" s="29">
        <f>Premissas!$C$19+Premissas!$C$20</f>
        <v/>
      </c>
      <c r="G36" s="29">
        <f>Premissas!$C$19+Premissas!$C$20</f>
        <v/>
      </c>
      <c r="H36" s="29">
        <f>Premissas!$C$19+Premissas!$C$20</f>
        <v/>
      </c>
      <c r="I36" s="29">
        <f>Premissas!$C$19+Premissas!$C$20</f>
        <v/>
      </c>
      <c r="J36" s="29">
        <f>Premissas!$C$19+Premissas!$C$20</f>
        <v/>
      </c>
      <c r="K36" s="29">
        <f>Premissas!$C$19+Premissas!$C$20</f>
        <v/>
      </c>
      <c r="L36" s="29">
        <f>Premissas!$C$19+Premissas!$C$20</f>
        <v/>
      </c>
      <c r="M36" s="29">
        <f>Premissas!$C$19+Premissas!$C$20</f>
        <v/>
      </c>
      <c r="N36" s="29">
        <f>Premissas!$C$19+Premissas!$C$20</f>
        <v/>
      </c>
      <c r="O36" s="29">
        <f>Premissas!$C$19+Premissas!$C$20</f>
        <v/>
      </c>
      <c r="P36" s="29">
        <f>Premissas!$C$19+Premissas!$C$20</f>
        <v/>
      </c>
      <c r="Q36" s="29">
        <f>Premissas!$C$19+Premissas!$C$20</f>
        <v/>
      </c>
      <c r="R36" s="29">
        <f>Premissas!$C$19+Premissas!$C$20</f>
        <v/>
      </c>
      <c r="S36" s="29">
        <f>Premissas!$C$19+Premissas!$C$20</f>
        <v/>
      </c>
      <c r="T36" s="29">
        <f>Premissas!$C$19+Premissas!$C$20</f>
        <v/>
      </c>
      <c r="U36" s="29">
        <f>Premissas!$C$19+Premissas!$C$20</f>
        <v/>
      </c>
      <c r="V36" s="29">
        <f>Premissas!$C$19+Premissas!$C$20</f>
        <v/>
      </c>
      <c r="W36" s="29">
        <f>Premissas!$C$19+Premissas!$C$20</f>
        <v/>
      </c>
      <c r="X36" s="29">
        <f>Premissas!$C$19+Premissas!$C$20</f>
        <v/>
      </c>
      <c r="Y36" s="29">
        <f>Premissas!$C$19+Premissas!$C$20</f>
        <v/>
      </c>
      <c r="Z36" s="29">
        <f>Premissas!$C$19+Premissas!$C$20</f>
        <v/>
      </c>
      <c r="AA36" s="29">
        <f>Premissas!$C$19+Premissas!$C$20</f>
        <v/>
      </c>
      <c r="AB36" s="29">
        <f>Premissas!$C$19+Premissas!$C$20</f>
        <v/>
      </c>
      <c r="AC36" s="29">
        <f>Premissas!$C$19+Premissas!$C$20</f>
        <v/>
      </c>
    </row>
    <row r="37">
      <c r="A37" s="3" t="inlineStr">
        <is>
          <t>Resend e Sentry (quando passam do grátis)</t>
        </is>
      </c>
      <c r="B37" s="3" t="inlineStr">
        <is>
          <t>brl</t>
        </is>
      </c>
      <c r="C37" s="29">
        <f>(IF(C17&gt;Premissas!$C$22,Premissas!$C$21,0)+IF(C17&gt;Premissas!$C$24,Premissas!$C$23,0))*Premissas!$C$5</f>
        <v/>
      </c>
      <c r="D37" s="29">
        <f>(IF(D17&gt;Premissas!$C$22,Premissas!$C$21,0)+IF(D17&gt;Premissas!$C$24,Premissas!$C$23,0))*Premissas!$C$5</f>
        <v/>
      </c>
      <c r="E37" s="29">
        <f>(IF(E17&gt;Premissas!$C$22,Premissas!$C$21,0)+IF(E17&gt;Premissas!$C$24,Premissas!$C$23,0))*Premissas!$C$5</f>
        <v/>
      </c>
      <c r="F37" s="29">
        <f>(IF(F17&gt;Premissas!$C$22,Premissas!$C$21,0)+IF(F17&gt;Premissas!$C$24,Premissas!$C$23,0))*Premissas!$C$5</f>
        <v/>
      </c>
      <c r="G37" s="29">
        <f>(IF(G17&gt;Premissas!$C$22,Premissas!$C$21,0)+IF(G17&gt;Premissas!$C$24,Premissas!$C$23,0))*Premissas!$C$5</f>
        <v/>
      </c>
      <c r="H37" s="29">
        <f>(IF(H17&gt;Premissas!$C$22,Premissas!$C$21,0)+IF(H17&gt;Premissas!$C$24,Premissas!$C$23,0))*Premissas!$C$5</f>
        <v/>
      </c>
      <c r="I37" s="29">
        <f>(IF(I17&gt;Premissas!$C$22,Premissas!$C$21,0)+IF(I17&gt;Premissas!$C$24,Premissas!$C$23,0))*Premissas!$C$5</f>
        <v/>
      </c>
      <c r="J37" s="29">
        <f>(IF(J17&gt;Premissas!$C$22,Premissas!$C$21,0)+IF(J17&gt;Premissas!$C$24,Premissas!$C$23,0))*Premissas!$C$5</f>
        <v/>
      </c>
      <c r="K37" s="29">
        <f>(IF(K17&gt;Premissas!$C$22,Premissas!$C$21,0)+IF(K17&gt;Premissas!$C$24,Premissas!$C$23,0))*Premissas!$C$5</f>
        <v/>
      </c>
      <c r="L37" s="29">
        <f>(IF(L17&gt;Premissas!$C$22,Premissas!$C$21,0)+IF(L17&gt;Premissas!$C$24,Premissas!$C$23,0))*Premissas!$C$5</f>
        <v/>
      </c>
      <c r="M37" s="29">
        <f>(IF(M17&gt;Premissas!$C$22,Premissas!$C$21,0)+IF(M17&gt;Premissas!$C$24,Premissas!$C$23,0))*Premissas!$C$5</f>
        <v/>
      </c>
      <c r="N37" s="29">
        <f>(IF(N17&gt;Premissas!$C$22,Premissas!$C$21,0)+IF(N17&gt;Premissas!$C$24,Premissas!$C$23,0))*Premissas!$C$5</f>
        <v/>
      </c>
      <c r="O37" s="29">
        <f>(IF(O17&gt;Premissas!$C$22,Premissas!$C$21,0)+IF(O17&gt;Premissas!$C$24,Premissas!$C$23,0))*Premissas!$C$5</f>
        <v/>
      </c>
      <c r="P37" s="29">
        <f>(IF(P17&gt;Premissas!$C$22,Premissas!$C$21,0)+IF(P17&gt;Premissas!$C$24,Premissas!$C$23,0))*Premissas!$C$5</f>
        <v/>
      </c>
      <c r="Q37" s="29">
        <f>(IF(Q17&gt;Premissas!$C$22,Premissas!$C$21,0)+IF(Q17&gt;Premissas!$C$24,Premissas!$C$23,0))*Premissas!$C$5</f>
        <v/>
      </c>
      <c r="R37" s="29">
        <f>(IF(R17&gt;Premissas!$C$22,Premissas!$C$21,0)+IF(R17&gt;Premissas!$C$24,Premissas!$C$23,0))*Premissas!$C$5</f>
        <v/>
      </c>
      <c r="S37" s="29">
        <f>(IF(S17&gt;Premissas!$C$22,Premissas!$C$21,0)+IF(S17&gt;Premissas!$C$24,Premissas!$C$23,0))*Premissas!$C$5</f>
        <v/>
      </c>
      <c r="T37" s="29">
        <f>(IF(T17&gt;Premissas!$C$22,Premissas!$C$21,0)+IF(T17&gt;Premissas!$C$24,Premissas!$C$23,0))*Premissas!$C$5</f>
        <v/>
      </c>
      <c r="U37" s="29">
        <f>(IF(U17&gt;Premissas!$C$22,Premissas!$C$21,0)+IF(U17&gt;Premissas!$C$24,Premissas!$C$23,0))*Premissas!$C$5</f>
        <v/>
      </c>
      <c r="V37" s="29">
        <f>(IF(V17&gt;Premissas!$C$22,Premissas!$C$21,0)+IF(V17&gt;Premissas!$C$24,Premissas!$C$23,0))*Premissas!$C$5</f>
        <v/>
      </c>
      <c r="W37" s="29">
        <f>(IF(W17&gt;Premissas!$C$22,Premissas!$C$21,0)+IF(W17&gt;Premissas!$C$24,Premissas!$C$23,0))*Premissas!$C$5</f>
        <v/>
      </c>
      <c r="X37" s="29">
        <f>(IF(X17&gt;Premissas!$C$22,Premissas!$C$21,0)+IF(X17&gt;Premissas!$C$24,Premissas!$C$23,0))*Premissas!$C$5</f>
        <v/>
      </c>
      <c r="Y37" s="29">
        <f>(IF(Y17&gt;Premissas!$C$22,Premissas!$C$21,0)+IF(Y17&gt;Premissas!$C$24,Premissas!$C$23,0))*Premissas!$C$5</f>
        <v/>
      </c>
      <c r="Z37" s="29">
        <f>(IF(Z17&gt;Premissas!$C$22,Premissas!$C$21,0)+IF(Z17&gt;Premissas!$C$24,Premissas!$C$23,0))*Premissas!$C$5</f>
        <v/>
      </c>
      <c r="AA37" s="29">
        <f>(IF(AA17&gt;Premissas!$C$22,Premissas!$C$21,0)+IF(AA17&gt;Premissas!$C$24,Premissas!$C$23,0))*Premissas!$C$5</f>
        <v/>
      </c>
      <c r="AB37" s="29">
        <f>(IF(AB17&gt;Premissas!$C$22,Premissas!$C$21,0)+IF(AB17&gt;Premissas!$C$24,Premissas!$C$23,0))*Premissas!$C$5</f>
        <v/>
      </c>
      <c r="AC37" s="29">
        <f>(IF(AC17&gt;Premissas!$C$22,Premissas!$C$21,0)+IF(AC17&gt;Premissas!$C$24,Premissas!$C$23,0))*Premissas!$C$5</f>
        <v/>
      </c>
    </row>
    <row r="38">
      <c r="A38" s="3" t="inlineStr">
        <is>
          <t>Rua: transporte</t>
        </is>
      </c>
      <c r="B38" s="3" t="inlineStr">
        <is>
          <t>brl</t>
        </is>
      </c>
      <c r="C38" s="29">
        <f>C7*Premissas!$C$31</f>
        <v/>
      </c>
      <c r="D38" s="29">
        <f>D7*Premissas!$C$31</f>
        <v/>
      </c>
      <c r="E38" s="29">
        <f>E7*Premissas!$C$31</f>
        <v/>
      </c>
      <c r="F38" s="29">
        <f>F7*Premissas!$C$31</f>
        <v/>
      </c>
      <c r="G38" s="29">
        <f>G7*Premissas!$C$31</f>
        <v/>
      </c>
      <c r="H38" s="29">
        <f>H7*Premissas!$C$31</f>
        <v/>
      </c>
      <c r="I38" s="29">
        <f>I7*Premissas!$C$31</f>
        <v/>
      </c>
      <c r="J38" s="29">
        <f>J7*Premissas!$C$31</f>
        <v/>
      </c>
      <c r="K38" s="29">
        <f>K7*Premissas!$C$31</f>
        <v/>
      </c>
      <c r="L38" s="29">
        <f>L7*Premissas!$C$31</f>
        <v/>
      </c>
      <c r="M38" s="29">
        <f>M7*Premissas!$C$31</f>
        <v/>
      </c>
      <c r="N38" s="29">
        <f>N7*Premissas!$C$31</f>
        <v/>
      </c>
      <c r="O38" s="29">
        <f>O7*Premissas!$C$31</f>
        <v/>
      </c>
      <c r="P38" s="29">
        <f>P7*Premissas!$C$31</f>
        <v/>
      </c>
      <c r="Q38" s="29">
        <f>Q7*Premissas!$C$31</f>
        <v/>
      </c>
      <c r="R38" s="29">
        <f>R7*Premissas!$C$31</f>
        <v/>
      </c>
      <c r="S38" s="29">
        <f>S7*Premissas!$C$31</f>
        <v/>
      </c>
      <c r="T38" s="29">
        <f>T7*Premissas!$C$31</f>
        <v/>
      </c>
      <c r="U38" s="29">
        <f>U7*Premissas!$C$31</f>
        <v/>
      </c>
      <c r="V38" s="29">
        <f>V7*Premissas!$C$31</f>
        <v/>
      </c>
      <c r="W38" s="29">
        <f>W7*Premissas!$C$31</f>
        <v/>
      </c>
      <c r="X38" s="29">
        <f>X7*Premissas!$C$31</f>
        <v/>
      </c>
      <c r="Y38" s="29">
        <f>Y7*Premissas!$C$31</f>
        <v/>
      </c>
      <c r="Z38" s="29">
        <f>Z7*Premissas!$C$31</f>
        <v/>
      </c>
      <c r="AA38" s="29">
        <f>AA7*Premissas!$C$31</f>
        <v/>
      </c>
      <c r="AB38" s="29">
        <f>AB7*Premissas!$C$31</f>
        <v/>
      </c>
      <c r="AC38" s="29">
        <f>AC7*Premissas!$C$31</f>
        <v/>
      </c>
    </row>
    <row r="39">
      <c r="A39" s="3" t="inlineStr">
        <is>
          <t>Conteúdo e material</t>
        </is>
      </c>
      <c r="B39" s="3" t="inlineStr">
        <is>
          <t>brl</t>
        </is>
      </c>
      <c r="C39" s="29">
        <f>Premissas!$C$32</f>
        <v/>
      </c>
      <c r="D39" s="29">
        <f>Premissas!$C$32</f>
        <v/>
      </c>
      <c r="E39" s="29">
        <f>Premissas!$C$32</f>
        <v/>
      </c>
      <c r="F39" s="29">
        <f>Premissas!$C$32</f>
        <v/>
      </c>
      <c r="G39" s="29">
        <f>Premissas!$C$32</f>
        <v/>
      </c>
      <c r="H39" s="29">
        <f>Premissas!$C$32</f>
        <v/>
      </c>
      <c r="I39" s="29">
        <f>Premissas!$C$32</f>
        <v/>
      </c>
      <c r="J39" s="29">
        <f>Premissas!$C$32</f>
        <v/>
      </c>
      <c r="K39" s="29">
        <f>Premissas!$C$32</f>
        <v/>
      </c>
      <c r="L39" s="29">
        <f>Premissas!$C$32</f>
        <v/>
      </c>
      <c r="M39" s="29">
        <f>Premissas!$C$32</f>
        <v/>
      </c>
      <c r="N39" s="29">
        <f>Premissas!$C$32</f>
        <v/>
      </c>
      <c r="O39" s="29">
        <f>Premissas!$C$32</f>
        <v/>
      </c>
      <c r="P39" s="29">
        <f>Premissas!$C$32</f>
        <v/>
      </c>
      <c r="Q39" s="29">
        <f>Premissas!$C$32</f>
        <v/>
      </c>
      <c r="R39" s="29">
        <f>Premissas!$C$32</f>
        <v/>
      </c>
      <c r="S39" s="29">
        <f>Premissas!$C$32</f>
        <v/>
      </c>
      <c r="T39" s="29">
        <f>Premissas!$C$32</f>
        <v/>
      </c>
      <c r="U39" s="29">
        <f>Premissas!$C$32</f>
        <v/>
      </c>
      <c r="V39" s="29">
        <f>Premissas!$C$32</f>
        <v/>
      </c>
      <c r="W39" s="29">
        <f>Premissas!$C$32</f>
        <v/>
      </c>
      <c r="X39" s="29">
        <f>Premissas!$C$32</f>
        <v/>
      </c>
      <c r="Y39" s="29">
        <f>Premissas!$C$32</f>
        <v/>
      </c>
      <c r="Z39" s="29">
        <f>Premissas!$C$32</f>
        <v/>
      </c>
      <c r="AA39" s="29">
        <f>Premissas!$C$32</f>
        <v/>
      </c>
      <c r="AB39" s="29">
        <f>Premissas!$C$32</f>
        <v/>
      </c>
      <c r="AC39" s="29">
        <f>Premissas!$C$32</f>
        <v/>
      </c>
    </row>
    <row r="40">
      <c r="A40" s="27" t="inlineStr">
        <is>
          <t>Total de custos</t>
        </is>
      </c>
      <c r="B40" s="3" t="inlineStr">
        <is>
          <t>brl</t>
        </is>
      </c>
      <c r="C40" s="30">
        <f>SUM(C33:C39)</f>
        <v/>
      </c>
      <c r="D40" s="30">
        <f>SUM(D33:D39)</f>
        <v/>
      </c>
      <c r="E40" s="30">
        <f>SUM(E33:E39)</f>
        <v/>
      </c>
      <c r="F40" s="30">
        <f>SUM(F33:F39)</f>
        <v/>
      </c>
      <c r="G40" s="30">
        <f>SUM(G33:G39)</f>
        <v/>
      </c>
      <c r="H40" s="30">
        <f>SUM(H33:H39)</f>
        <v/>
      </c>
      <c r="I40" s="30">
        <f>SUM(I33:I39)</f>
        <v/>
      </c>
      <c r="J40" s="30">
        <f>SUM(J33:J39)</f>
        <v/>
      </c>
      <c r="K40" s="30">
        <f>SUM(K33:K39)</f>
        <v/>
      </c>
      <c r="L40" s="30">
        <f>SUM(L33:L39)</f>
        <v/>
      </c>
      <c r="M40" s="30">
        <f>SUM(M33:M39)</f>
        <v/>
      </c>
      <c r="N40" s="30">
        <f>SUM(N33:N39)</f>
        <v/>
      </c>
      <c r="O40" s="30">
        <f>SUM(O33:O39)</f>
        <v/>
      </c>
      <c r="P40" s="30">
        <f>SUM(P33:P39)</f>
        <v/>
      </c>
      <c r="Q40" s="30">
        <f>SUM(Q33:Q39)</f>
        <v/>
      </c>
      <c r="R40" s="30">
        <f>SUM(R33:R39)</f>
        <v/>
      </c>
      <c r="S40" s="30">
        <f>SUM(S33:S39)</f>
        <v/>
      </c>
      <c r="T40" s="30">
        <f>SUM(T33:T39)</f>
        <v/>
      </c>
      <c r="U40" s="30">
        <f>SUM(U33:U39)</f>
        <v/>
      </c>
      <c r="V40" s="30">
        <f>SUM(V33:V39)</f>
        <v/>
      </c>
      <c r="W40" s="30">
        <f>SUM(W33:W39)</f>
        <v/>
      </c>
      <c r="X40" s="30">
        <f>SUM(X33:X39)</f>
        <v/>
      </c>
      <c r="Y40" s="30">
        <f>SUM(Y33:Y39)</f>
        <v/>
      </c>
      <c r="Z40" s="30">
        <f>SUM(Z33:Z39)</f>
        <v/>
      </c>
      <c r="AA40" s="30">
        <f>SUM(AA33:AA39)</f>
        <v/>
      </c>
      <c r="AB40" s="30">
        <f>SUM(AB33:AB39)</f>
        <v/>
      </c>
      <c r="AC40" s="30">
        <f>SUM(AC33:AC39)</f>
        <v/>
      </c>
    </row>
    <row r="41">
      <c r="A41" s="27" t="inlineStr">
        <is>
          <t>Resultado operacional</t>
        </is>
      </c>
      <c r="B41" s="3" t="inlineStr">
        <is>
          <t>brl</t>
        </is>
      </c>
      <c r="C41" s="30">
        <f>C31-C40</f>
        <v/>
      </c>
      <c r="D41" s="30">
        <f>D31-D40</f>
        <v/>
      </c>
      <c r="E41" s="30">
        <f>E31-E40</f>
        <v/>
      </c>
      <c r="F41" s="30">
        <f>F31-F40</f>
        <v/>
      </c>
      <c r="G41" s="30">
        <f>G31-G40</f>
        <v/>
      </c>
      <c r="H41" s="30">
        <f>H31-H40</f>
        <v/>
      </c>
      <c r="I41" s="30">
        <f>I31-I40</f>
        <v/>
      </c>
      <c r="J41" s="30">
        <f>J31-J40</f>
        <v/>
      </c>
      <c r="K41" s="30">
        <f>K31-K40</f>
        <v/>
      </c>
      <c r="L41" s="30">
        <f>L31-L40</f>
        <v/>
      </c>
      <c r="M41" s="30">
        <f>M31-M40</f>
        <v/>
      </c>
      <c r="N41" s="30">
        <f>N31-N40</f>
        <v/>
      </c>
      <c r="O41" s="30">
        <f>O31-O40</f>
        <v/>
      </c>
      <c r="P41" s="30">
        <f>P31-P40</f>
        <v/>
      </c>
      <c r="Q41" s="30">
        <f>Q31-Q40</f>
        <v/>
      </c>
      <c r="R41" s="30">
        <f>R31-R40</f>
        <v/>
      </c>
      <c r="S41" s="30">
        <f>S31-S40</f>
        <v/>
      </c>
      <c r="T41" s="30">
        <f>T31-T40</f>
        <v/>
      </c>
      <c r="U41" s="30">
        <f>U31-U40</f>
        <v/>
      </c>
      <c r="V41" s="30">
        <f>V31-V40</f>
        <v/>
      </c>
      <c r="W41" s="30">
        <f>W31-W40</f>
        <v/>
      </c>
      <c r="X41" s="30">
        <f>X31-X40</f>
        <v/>
      </c>
      <c r="Y41" s="30">
        <f>Y31-Y40</f>
        <v/>
      </c>
      <c r="Z41" s="30">
        <f>Z31-Z40</f>
        <v/>
      </c>
      <c r="AA41" s="30">
        <f>AA31-AA40</f>
        <v/>
      </c>
      <c r="AB41" s="30">
        <f>AB31-AB40</f>
        <v/>
      </c>
      <c r="AC41" s="30">
        <f>AC31-AC40</f>
        <v/>
      </c>
    </row>
    <row r="42">
      <c r="A42" s="3" t="inlineStr">
        <is>
          <t>Investimento único</t>
        </is>
      </c>
      <c r="B42" s="3" t="inlineStr">
        <is>
          <t>brl</t>
        </is>
      </c>
      <c r="C42" s="29">
        <f>Calendario!C10*(Premissas!$C$37+Premissas!$C$38+Premissas!$C$39+Premissas!$C$40)</f>
        <v/>
      </c>
      <c r="D42" s="29">
        <f>Calendario!D10*(Premissas!$C$37+Premissas!$C$38+Premissas!$C$39+Premissas!$C$40)</f>
        <v/>
      </c>
      <c r="E42" s="29">
        <f>Calendario!E10*(Premissas!$C$37+Premissas!$C$38+Premissas!$C$39+Premissas!$C$40)</f>
        <v/>
      </c>
      <c r="F42" s="29">
        <f>Calendario!F10*(Premissas!$C$37+Premissas!$C$38+Premissas!$C$39+Premissas!$C$40)</f>
        <v/>
      </c>
      <c r="G42" s="29">
        <f>Calendario!G10*(Premissas!$C$37+Premissas!$C$38+Premissas!$C$39+Premissas!$C$40)</f>
        <v/>
      </c>
      <c r="H42" s="29">
        <f>Calendario!H10*(Premissas!$C$37+Premissas!$C$38+Premissas!$C$39+Premissas!$C$40)</f>
        <v/>
      </c>
      <c r="I42" s="29">
        <f>Calendario!I10*(Premissas!$C$37+Premissas!$C$38+Premissas!$C$39+Premissas!$C$40)</f>
        <v/>
      </c>
      <c r="J42" s="29">
        <f>Calendario!J10*(Premissas!$C$37+Premissas!$C$38+Premissas!$C$39+Premissas!$C$40)</f>
        <v/>
      </c>
      <c r="K42" s="29">
        <f>Calendario!K10*(Premissas!$C$37+Premissas!$C$38+Premissas!$C$39+Premissas!$C$40)</f>
        <v/>
      </c>
      <c r="L42" s="29">
        <f>Calendario!L10*(Premissas!$C$37+Premissas!$C$38+Premissas!$C$39+Premissas!$C$40)</f>
        <v/>
      </c>
      <c r="M42" s="29">
        <f>Calendario!M10*(Premissas!$C$37+Premissas!$C$38+Premissas!$C$39+Premissas!$C$40)</f>
        <v/>
      </c>
      <c r="N42" s="29">
        <f>Calendario!N10*(Premissas!$C$37+Premissas!$C$38+Premissas!$C$39+Premissas!$C$40)</f>
        <v/>
      </c>
      <c r="O42" s="29">
        <f>Calendario!O10*(Premissas!$C$37+Premissas!$C$38+Premissas!$C$39+Premissas!$C$40)</f>
        <v/>
      </c>
      <c r="P42" s="29">
        <f>Calendario!P10*(Premissas!$C$37+Premissas!$C$38+Premissas!$C$39+Premissas!$C$40)</f>
        <v/>
      </c>
      <c r="Q42" s="29">
        <f>Calendario!Q10*(Premissas!$C$37+Premissas!$C$38+Premissas!$C$39+Premissas!$C$40)</f>
        <v/>
      </c>
      <c r="R42" s="29">
        <f>Calendario!R10*(Premissas!$C$37+Premissas!$C$38+Premissas!$C$39+Premissas!$C$40)</f>
        <v/>
      </c>
      <c r="S42" s="29">
        <f>Calendario!S10*(Premissas!$C$37+Premissas!$C$38+Premissas!$C$39+Premissas!$C$40)</f>
        <v/>
      </c>
      <c r="T42" s="29">
        <f>Calendario!T10*(Premissas!$C$37+Premissas!$C$38+Premissas!$C$39+Premissas!$C$40)</f>
        <v/>
      </c>
      <c r="U42" s="29">
        <f>Calendario!U10*(Premissas!$C$37+Premissas!$C$38+Premissas!$C$39+Premissas!$C$40)</f>
        <v/>
      </c>
      <c r="V42" s="29">
        <f>Calendario!V10*(Premissas!$C$37+Premissas!$C$38+Premissas!$C$39+Premissas!$C$40)</f>
        <v/>
      </c>
      <c r="W42" s="29">
        <f>Calendario!W10*(Premissas!$C$37+Premissas!$C$38+Premissas!$C$39+Premissas!$C$40)</f>
        <v/>
      </c>
      <c r="X42" s="29">
        <f>Calendario!X10*(Premissas!$C$37+Premissas!$C$38+Premissas!$C$39+Premissas!$C$40)</f>
        <v/>
      </c>
      <c r="Y42" s="29">
        <f>Calendario!Y10*(Premissas!$C$37+Premissas!$C$38+Premissas!$C$39+Premissas!$C$40)</f>
        <v/>
      </c>
      <c r="Z42" s="29">
        <f>Calendario!Z10*(Premissas!$C$37+Premissas!$C$38+Premissas!$C$39+Premissas!$C$40)</f>
        <v/>
      </c>
      <c r="AA42" s="29">
        <f>Calendario!AA10*(Premissas!$C$37+Premissas!$C$38+Premissas!$C$39+Premissas!$C$40)</f>
        <v/>
      </c>
      <c r="AB42" s="29">
        <f>Calendario!AB10*(Premissas!$C$37+Premissas!$C$38+Premissas!$C$39+Premissas!$C$40)</f>
        <v/>
      </c>
      <c r="AC42" s="29">
        <f>Calendario!AC10*(Premissas!$C$37+Premissas!$C$38+Premissas!$C$39+Premissas!$C$40)</f>
        <v/>
      </c>
    </row>
    <row r="43">
      <c r="A43" s="27" t="inlineStr">
        <is>
          <t>Resultado do mês</t>
        </is>
      </c>
      <c r="B43" s="3" t="inlineStr">
        <is>
          <t>brl</t>
        </is>
      </c>
      <c r="C43" s="30">
        <f>C41-C42</f>
        <v/>
      </c>
      <c r="D43" s="30">
        <f>D41-D42</f>
        <v/>
      </c>
      <c r="E43" s="30">
        <f>E41-E42</f>
        <v/>
      </c>
      <c r="F43" s="30">
        <f>F41-F42</f>
        <v/>
      </c>
      <c r="G43" s="30">
        <f>G41-G42</f>
        <v/>
      </c>
      <c r="H43" s="30">
        <f>H41-H42</f>
        <v/>
      </c>
      <c r="I43" s="30">
        <f>I41-I42</f>
        <v/>
      </c>
      <c r="J43" s="30">
        <f>J41-J42</f>
        <v/>
      </c>
      <c r="K43" s="30">
        <f>K41-K42</f>
        <v/>
      </c>
      <c r="L43" s="30">
        <f>L41-L42</f>
        <v/>
      </c>
      <c r="M43" s="30">
        <f>M41-M42</f>
        <v/>
      </c>
      <c r="N43" s="30">
        <f>N41-N42</f>
        <v/>
      </c>
      <c r="O43" s="30">
        <f>O41-O42</f>
        <v/>
      </c>
      <c r="P43" s="30">
        <f>P41-P42</f>
        <v/>
      </c>
      <c r="Q43" s="30">
        <f>Q41-Q42</f>
        <v/>
      </c>
      <c r="R43" s="30">
        <f>R41-R42</f>
        <v/>
      </c>
      <c r="S43" s="30">
        <f>S41-S42</f>
        <v/>
      </c>
      <c r="T43" s="30">
        <f>T41-T42</f>
        <v/>
      </c>
      <c r="U43" s="30">
        <f>U41-U42</f>
        <v/>
      </c>
      <c r="V43" s="30">
        <f>V41-V42</f>
        <v/>
      </c>
      <c r="W43" s="30">
        <f>W41-W42</f>
        <v/>
      </c>
      <c r="X43" s="30">
        <f>X41-X42</f>
        <v/>
      </c>
      <c r="Y43" s="30">
        <f>Y41-Y42</f>
        <v/>
      </c>
      <c r="Z43" s="30">
        <f>Z41-Z42</f>
        <v/>
      </c>
      <c r="AA43" s="30">
        <f>AA41-AA42</f>
        <v/>
      </c>
      <c r="AB43" s="30">
        <f>AB41-AB42</f>
        <v/>
      </c>
      <c r="AC43" s="30">
        <f>AC41-AC42</f>
        <v/>
      </c>
    </row>
    <row r="44">
      <c r="A44" s="27" t="inlineStr">
        <is>
          <t>Caixa acumulado</t>
        </is>
      </c>
      <c r="B44" s="3" t="inlineStr">
        <is>
          <t>brl</t>
        </is>
      </c>
      <c r="C44" s="30">
        <f>0+C43</f>
        <v/>
      </c>
      <c r="D44" s="30">
        <f>C44+D43</f>
        <v/>
      </c>
      <c r="E44" s="30">
        <f>D44+E43</f>
        <v/>
      </c>
      <c r="F44" s="30">
        <f>E44+F43</f>
        <v/>
      </c>
      <c r="G44" s="30">
        <f>F44+G43</f>
        <v/>
      </c>
      <c r="H44" s="30">
        <f>G44+H43</f>
        <v/>
      </c>
      <c r="I44" s="30">
        <f>H44+I43</f>
        <v/>
      </c>
      <c r="J44" s="30">
        <f>I44+J43</f>
        <v/>
      </c>
      <c r="K44" s="30">
        <f>J44+K43</f>
        <v/>
      </c>
      <c r="L44" s="30">
        <f>K44+L43</f>
        <v/>
      </c>
      <c r="M44" s="30">
        <f>L44+M43</f>
        <v/>
      </c>
      <c r="N44" s="30">
        <f>M44+N43</f>
        <v/>
      </c>
      <c r="O44" s="30">
        <f>N44+O43</f>
        <v/>
      </c>
      <c r="P44" s="30">
        <f>O44+P43</f>
        <v/>
      </c>
      <c r="Q44" s="30">
        <f>P44+Q43</f>
        <v/>
      </c>
      <c r="R44" s="30">
        <f>Q44+R43</f>
        <v/>
      </c>
      <c r="S44" s="30">
        <f>R44+S43</f>
        <v/>
      </c>
      <c r="T44" s="30">
        <f>S44+T43</f>
        <v/>
      </c>
      <c r="U44" s="30">
        <f>T44+U43</f>
        <v/>
      </c>
      <c r="V44" s="30">
        <f>U44+V43</f>
        <v/>
      </c>
      <c r="W44" s="30">
        <f>V44+W43</f>
        <v/>
      </c>
      <c r="X44" s="30">
        <f>W44+X43</f>
        <v/>
      </c>
      <c r="Y44" s="30">
        <f>X44+Y43</f>
        <v/>
      </c>
      <c r="Z44" s="30">
        <f>Y44+Z43</f>
        <v/>
      </c>
      <c r="AA44" s="30">
        <f>Z44+AA43</f>
        <v/>
      </c>
      <c r="AB44" s="30">
        <f>AA44+AB43</f>
        <v/>
      </c>
      <c r="AC44" s="30">
        <f>AB44+AC43</f>
        <v/>
      </c>
    </row>
    <row r="45">
      <c r="A45" s="24" t="inlineStr">
        <is>
          <t>Memo: o seu tempo (não sai do caixa)</t>
        </is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>
      <c r="A46" s="3" t="inlineStr">
        <is>
          <t>Horas de rua</t>
        </is>
      </c>
      <c r="B46" s="3" t="inlineStr">
        <is>
          <t>n1</t>
        </is>
      </c>
      <c r="C46" s="26">
        <f>C7*Premissas!$C$33</f>
        <v/>
      </c>
      <c r="D46" s="26">
        <f>D7*Premissas!$C$33</f>
        <v/>
      </c>
      <c r="E46" s="26">
        <f>E7*Premissas!$C$33</f>
        <v/>
      </c>
      <c r="F46" s="26">
        <f>F7*Premissas!$C$33</f>
        <v/>
      </c>
      <c r="G46" s="26">
        <f>G7*Premissas!$C$33</f>
        <v/>
      </c>
      <c r="H46" s="26">
        <f>H7*Premissas!$C$33</f>
        <v/>
      </c>
      <c r="I46" s="26">
        <f>I7*Premissas!$C$33</f>
        <v/>
      </c>
      <c r="J46" s="26">
        <f>J7*Premissas!$C$33</f>
        <v/>
      </c>
      <c r="K46" s="26">
        <f>K7*Premissas!$C$33</f>
        <v/>
      </c>
      <c r="L46" s="26">
        <f>L7*Premissas!$C$33</f>
        <v/>
      </c>
      <c r="M46" s="26">
        <f>M7*Premissas!$C$33</f>
        <v/>
      </c>
      <c r="N46" s="26">
        <f>N7*Premissas!$C$33</f>
        <v/>
      </c>
      <c r="O46" s="26">
        <f>O7*Premissas!$C$33</f>
        <v/>
      </c>
      <c r="P46" s="26">
        <f>P7*Premissas!$C$33</f>
        <v/>
      </c>
      <c r="Q46" s="26">
        <f>Q7*Premissas!$C$33</f>
        <v/>
      </c>
      <c r="R46" s="26">
        <f>R7*Premissas!$C$33</f>
        <v/>
      </c>
      <c r="S46" s="26">
        <f>S7*Premissas!$C$33</f>
        <v/>
      </c>
      <c r="T46" s="26">
        <f>T7*Premissas!$C$33</f>
        <v/>
      </c>
      <c r="U46" s="26">
        <f>U7*Premissas!$C$33</f>
        <v/>
      </c>
      <c r="V46" s="26">
        <f>V7*Premissas!$C$33</f>
        <v/>
      </c>
      <c r="W46" s="26">
        <f>W7*Premissas!$C$33</f>
        <v/>
      </c>
      <c r="X46" s="26">
        <f>X7*Premissas!$C$33</f>
        <v/>
      </c>
      <c r="Y46" s="26">
        <f>Y7*Premissas!$C$33</f>
        <v/>
      </c>
      <c r="Z46" s="26">
        <f>Z7*Premissas!$C$33</f>
        <v/>
      </c>
      <c r="AA46" s="26">
        <f>AA7*Premissas!$C$33</f>
        <v/>
      </c>
      <c r="AB46" s="26">
        <f>AB7*Premissas!$C$33</f>
        <v/>
      </c>
      <c r="AC46" s="26">
        <f>AC7*Premissas!$C$33</f>
        <v/>
      </c>
    </row>
    <row r="47">
      <c r="A47" s="3" t="inlineStr">
        <is>
          <t>Horas de suporte e implantação</t>
        </is>
      </c>
      <c r="B47" s="3" t="inlineStr">
        <is>
          <t>n1</t>
        </is>
      </c>
      <c r="C47" s="26">
        <f>C24*Premissas!$C$35+C15*Premissas!$C$36</f>
        <v/>
      </c>
      <c r="D47" s="26">
        <f>D24*Premissas!$C$35+D15*Premissas!$C$36</f>
        <v/>
      </c>
      <c r="E47" s="26">
        <f>E24*Premissas!$C$35+E15*Premissas!$C$36</f>
        <v/>
      </c>
      <c r="F47" s="26">
        <f>F24*Premissas!$C$35+F15*Premissas!$C$36</f>
        <v/>
      </c>
      <c r="G47" s="26">
        <f>G24*Premissas!$C$35+G15*Premissas!$C$36</f>
        <v/>
      </c>
      <c r="H47" s="26">
        <f>H24*Premissas!$C$35+H15*Premissas!$C$36</f>
        <v/>
      </c>
      <c r="I47" s="26">
        <f>I24*Premissas!$C$35+I15*Premissas!$C$36</f>
        <v/>
      </c>
      <c r="J47" s="26">
        <f>J24*Premissas!$C$35+J15*Premissas!$C$36</f>
        <v/>
      </c>
      <c r="K47" s="26">
        <f>K24*Premissas!$C$35+K15*Premissas!$C$36</f>
        <v/>
      </c>
      <c r="L47" s="26">
        <f>L24*Premissas!$C$35+L15*Premissas!$C$36</f>
        <v/>
      </c>
      <c r="M47" s="26">
        <f>M24*Premissas!$C$35+M15*Premissas!$C$36</f>
        <v/>
      </c>
      <c r="N47" s="26">
        <f>N24*Premissas!$C$35+N15*Premissas!$C$36</f>
        <v/>
      </c>
      <c r="O47" s="26">
        <f>O24*Premissas!$C$35+O15*Premissas!$C$36</f>
        <v/>
      </c>
      <c r="P47" s="26">
        <f>P24*Premissas!$C$35+P15*Premissas!$C$36</f>
        <v/>
      </c>
      <c r="Q47" s="26">
        <f>Q24*Premissas!$C$35+Q15*Premissas!$C$36</f>
        <v/>
      </c>
      <c r="R47" s="26">
        <f>R24*Premissas!$C$35+R15*Premissas!$C$36</f>
        <v/>
      </c>
      <c r="S47" s="26">
        <f>S24*Premissas!$C$35+S15*Premissas!$C$36</f>
        <v/>
      </c>
      <c r="T47" s="26">
        <f>T24*Premissas!$C$35+T15*Premissas!$C$36</f>
        <v/>
      </c>
      <c r="U47" s="26">
        <f>U24*Premissas!$C$35+U15*Premissas!$C$36</f>
        <v/>
      </c>
      <c r="V47" s="26">
        <f>V24*Premissas!$C$35+V15*Premissas!$C$36</f>
        <v/>
      </c>
      <c r="W47" s="26">
        <f>W24*Premissas!$C$35+W15*Premissas!$C$36</f>
        <v/>
      </c>
      <c r="X47" s="26">
        <f>X24*Premissas!$C$35+X15*Premissas!$C$36</f>
        <v/>
      </c>
      <c r="Y47" s="26">
        <f>Y24*Premissas!$C$35+Y15*Premissas!$C$36</f>
        <v/>
      </c>
      <c r="Z47" s="26">
        <f>Z24*Premissas!$C$35+Z15*Premissas!$C$36</f>
        <v/>
      </c>
      <c r="AA47" s="26">
        <f>AA24*Premissas!$C$35+AA15*Premissas!$C$36</f>
        <v/>
      </c>
      <c r="AB47" s="26">
        <f>AB24*Premissas!$C$35+AB15*Premissas!$C$36</f>
        <v/>
      </c>
      <c r="AC47" s="26">
        <f>AC24*Premissas!$C$35+AC15*Premissas!$C$36</f>
        <v/>
      </c>
    </row>
    <row r="48">
      <c r="A48" s="3" t="inlineStr">
        <is>
          <t>Valor do tempo</t>
        </is>
      </c>
      <c r="B48" s="3" t="inlineStr">
        <is>
          <t>brl</t>
        </is>
      </c>
      <c r="C48" s="29">
        <f>(C46+C47)*Premissas!$C$34</f>
        <v/>
      </c>
      <c r="D48" s="29">
        <f>(D46+D47)*Premissas!$C$34</f>
        <v/>
      </c>
      <c r="E48" s="29">
        <f>(E46+E47)*Premissas!$C$34</f>
        <v/>
      </c>
      <c r="F48" s="29">
        <f>(F46+F47)*Premissas!$C$34</f>
        <v/>
      </c>
      <c r="G48" s="29">
        <f>(G46+G47)*Premissas!$C$34</f>
        <v/>
      </c>
      <c r="H48" s="29">
        <f>(H46+H47)*Premissas!$C$34</f>
        <v/>
      </c>
      <c r="I48" s="29">
        <f>(I46+I47)*Premissas!$C$34</f>
        <v/>
      </c>
      <c r="J48" s="29">
        <f>(J46+J47)*Premissas!$C$34</f>
        <v/>
      </c>
      <c r="K48" s="29">
        <f>(K46+K47)*Premissas!$C$34</f>
        <v/>
      </c>
      <c r="L48" s="29">
        <f>(L46+L47)*Premissas!$C$34</f>
        <v/>
      </c>
      <c r="M48" s="29">
        <f>(M46+M47)*Premissas!$C$34</f>
        <v/>
      </c>
      <c r="N48" s="29">
        <f>(N46+N47)*Premissas!$C$34</f>
        <v/>
      </c>
      <c r="O48" s="29">
        <f>(O46+O47)*Premissas!$C$34</f>
        <v/>
      </c>
      <c r="P48" s="29">
        <f>(P46+P47)*Premissas!$C$34</f>
        <v/>
      </c>
      <c r="Q48" s="29">
        <f>(Q46+Q47)*Premissas!$C$34</f>
        <v/>
      </c>
      <c r="R48" s="29">
        <f>(R46+R47)*Premissas!$C$34</f>
        <v/>
      </c>
      <c r="S48" s="29">
        <f>(S46+S47)*Premissas!$C$34</f>
        <v/>
      </c>
      <c r="T48" s="29">
        <f>(T46+T47)*Premissas!$C$34</f>
        <v/>
      </c>
      <c r="U48" s="29">
        <f>(U46+U47)*Premissas!$C$34</f>
        <v/>
      </c>
      <c r="V48" s="29">
        <f>(V46+V47)*Premissas!$C$34</f>
        <v/>
      </c>
      <c r="W48" s="29">
        <f>(W46+W47)*Premissas!$C$34</f>
        <v/>
      </c>
      <c r="X48" s="29">
        <f>(X46+X47)*Premissas!$C$34</f>
        <v/>
      </c>
      <c r="Y48" s="29">
        <f>(Y46+Y47)*Premissas!$C$34</f>
        <v/>
      </c>
      <c r="Z48" s="29">
        <f>(Z46+Z47)*Premissas!$C$34</f>
        <v/>
      </c>
      <c r="AA48" s="29">
        <f>(AA46+AA47)*Premissas!$C$34</f>
        <v/>
      </c>
      <c r="AB48" s="29">
        <f>(AB46+AB47)*Premissas!$C$34</f>
        <v/>
      </c>
      <c r="AC48" s="29">
        <f>(AC46+AC47)*Premissas!$C$34</f>
        <v/>
      </c>
    </row>
    <row r="49">
      <c r="A49" s="3" t="inlineStr">
        <is>
          <t>Resultado do mês contando o seu tempo</t>
        </is>
      </c>
      <c r="B49" s="3" t="inlineStr">
        <is>
          <t>brl</t>
        </is>
      </c>
      <c r="C49" s="29">
        <f>C43-C48</f>
        <v/>
      </c>
      <c r="D49" s="29">
        <f>D43-D48</f>
        <v/>
      </c>
      <c r="E49" s="29">
        <f>E43-E48</f>
        <v/>
      </c>
      <c r="F49" s="29">
        <f>F43-F48</f>
        <v/>
      </c>
      <c r="G49" s="29">
        <f>G43-G48</f>
        <v/>
      </c>
      <c r="H49" s="29">
        <f>H43-H48</f>
        <v/>
      </c>
      <c r="I49" s="29">
        <f>I43-I48</f>
        <v/>
      </c>
      <c r="J49" s="29">
        <f>J43-J48</f>
        <v/>
      </c>
      <c r="K49" s="29">
        <f>K43-K48</f>
        <v/>
      </c>
      <c r="L49" s="29">
        <f>L43-L48</f>
        <v/>
      </c>
      <c r="M49" s="29">
        <f>M43-M48</f>
        <v/>
      </c>
      <c r="N49" s="29">
        <f>N43-N48</f>
        <v/>
      </c>
      <c r="O49" s="29">
        <f>O43-O48</f>
        <v/>
      </c>
      <c r="P49" s="29">
        <f>P43-P48</f>
        <v/>
      </c>
      <c r="Q49" s="29">
        <f>Q43-Q48</f>
        <v/>
      </c>
      <c r="R49" s="29">
        <f>R43-R48</f>
        <v/>
      </c>
      <c r="S49" s="29">
        <f>S43-S48</f>
        <v/>
      </c>
      <c r="T49" s="29">
        <f>T43-T48</f>
        <v/>
      </c>
      <c r="U49" s="29">
        <f>U43-U48</f>
        <v/>
      </c>
      <c r="V49" s="29">
        <f>V43-V48</f>
        <v/>
      </c>
      <c r="W49" s="29">
        <f>W43-W48</f>
        <v/>
      </c>
      <c r="X49" s="29">
        <f>X43-X48</f>
        <v/>
      </c>
      <c r="Y49" s="29">
        <f>Y43-Y48</f>
        <v/>
      </c>
      <c r="Z49" s="29">
        <f>Z43-Z48</f>
        <v/>
      </c>
      <c r="AA49" s="29">
        <f>AA43-AA48</f>
        <v/>
      </c>
      <c r="AB49" s="29">
        <f>AB43-AB48</f>
        <v/>
      </c>
      <c r="AC49" s="29">
        <f>AC43-AC48</f>
        <v/>
      </c>
    </row>
    <row r="50">
      <c r="A50" s="3" t="inlineStr">
        <is>
          <t>Marcador: resultado operacional &gt;= 0</t>
        </is>
      </c>
      <c r="B50" s="3" t="inlineStr">
        <is>
          <t>n</t>
        </is>
      </c>
      <c r="C50" s="23">
        <f>IF(C41&gt;=0,1,0)</f>
        <v/>
      </c>
      <c r="D50" s="23">
        <f>IF(D41&gt;=0,1,0)</f>
        <v/>
      </c>
      <c r="E50" s="23">
        <f>IF(E41&gt;=0,1,0)</f>
        <v/>
      </c>
      <c r="F50" s="23">
        <f>IF(F41&gt;=0,1,0)</f>
        <v/>
      </c>
      <c r="G50" s="23">
        <f>IF(G41&gt;=0,1,0)</f>
        <v/>
      </c>
      <c r="H50" s="23">
        <f>IF(H41&gt;=0,1,0)</f>
        <v/>
      </c>
      <c r="I50" s="23">
        <f>IF(I41&gt;=0,1,0)</f>
        <v/>
      </c>
      <c r="J50" s="23">
        <f>IF(J41&gt;=0,1,0)</f>
        <v/>
      </c>
      <c r="K50" s="23">
        <f>IF(K41&gt;=0,1,0)</f>
        <v/>
      </c>
      <c r="L50" s="23">
        <f>IF(L41&gt;=0,1,0)</f>
        <v/>
      </c>
      <c r="M50" s="23">
        <f>IF(M41&gt;=0,1,0)</f>
        <v/>
      </c>
      <c r="N50" s="23">
        <f>IF(N41&gt;=0,1,0)</f>
        <v/>
      </c>
      <c r="O50" s="23">
        <f>IF(O41&gt;=0,1,0)</f>
        <v/>
      </c>
      <c r="P50" s="23">
        <f>IF(P41&gt;=0,1,0)</f>
        <v/>
      </c>
      <c r="Q50" s="23">
        <f>IF(Q41&gt;=0,1,0)</f>
        <v/>
      </c>
      <c r="R50" s="23">
        <f>IF(R41&gt;=0,1,0)</f>
        <v/>
      </c>
      <c r="S50" s="23">
        <f>IF(S41&gt;=0,1,0)</f>
        <v/>
      </c>
      <c r="T50" s="23">
        <f>IF(T41&gt;=0,1,0)</f>
        <v/>
      </c>
      <c r="U50" s="23">
        <f>IF(U41&gt;=0,1,0)</f>
        <v/>
      </c>
      <c r="V50" s="23">
        <f>IF(V41&gt;=0,1,0)</f>
        <v/>
      </c>
      <c r="W50" s="23">
        <f>IF(W41&gt;=0,1,0)</f>
        <v/>
      </c>
      <c r="X50" s="23">
        <f>IF(X41&gt;=0,1,0)</f>
        <v/>
      </c>
      <c r="Y50" s="23">
        <f>IF(Y41&gt;=0,1,0)</f>
        <v/>
      </c>
      <c r="Z50" s="23">
        <f>IF(Z41&gt;=0,1,0)</f>
        <v/>
      </c>
      <c r="AA50" s="23">
        <f>IF(AA41&gt;=0,1,0)</f>
        <v/>
      </c>
      <c r="AB50" s="23">
        <f>IF(AB41&gt;=0,1,0)</f>
        <v/>
      </c>
      <c r="AC50" s="23">
        <f>IF(AC41&gt;=0,1,0)</f>
        <v/>
      </c>
    </row>
    <row r="51">
      <c r="A51" s="3" t="inlineStr">
        <is>
          <t>Marcador: caixa acumulado &gt;= 0</t>
        </is>
      </c>
      <c r="B51" s="3" t="inlineStr">
        <is>
          <t>n</t>
        </is>
      </c>
      <c r="C51" s="23">
        <f>IF(C44&gt;=0,1,0)</f>
        <v/>
      </c>
      <c r="D51" s="23">
        <f>IF(D44&gt;=0,1,0)</f>
        <v/>
      </c>
      <c r="E51" s="23">
        <f>IF(E44&gt;=0,1,0)</f>
        <v/>
      </c>
      <c r="F51" s="23">
        <f>IF(F44&gt;=0,1,0)</f>
        <v/>
      </c>
      <c r="G51" s="23">
        <f>IF(G44&gt;=0,1,0)</f>
        <v/>
      </c>
      <c r="H51" s="23">
        <f>IF(H44&gt;=0,1,0)</f>
        <v/>
      </c>
      <c r="I51" s="23">
        <f>IF(I44&gt;=0,1,0)</f>
        <v/>
      </c>
      <c r="J51" s="23">
        <f>IF(J44&gt;=0,1,0)</f>
        <v/>
      </c>
      <c r="K51" s="23">
        <f>IF(K44&gt;=0,1,0)</f>
        <v/>
      </c>
      <c r="L51" s="23">
        <f>IF(L44&gt;=0,1,0)</f>
        <v/>
      </c>
      <c r="M51" s="23">
        <f>IF(M44&gt;=0,1,0)</f>
        <v/>
      </c>
      <c r="N51" s="23">
        <f>IF(N44&gt;=0,1,0)</f>
        <v/>
      </c>
      <c r="O51" s="23">
        <f>IF(O44&gt;=0,1,0)</f>
        <v/>
      </c>
      <c r="P51" s="23">
        <f>IF(P44&gt;=0,1,0)</f>
        <v/>
      </c>
      <c r="Q51" s="23">
        <f>IF(Q44&gt;=0,1,0)</f>
        <v/>
      </c>
      <c r="R51" s="23">
        <f>IF(R44&gt;=0,1,0)</f>
        <v/>
      </c>
      <c r="S51" s="23">
        <f>IF(S44&gt;=0,1,0)</f>
        <v/>
      </c>
      <c r="T51" s="23">
        <f>IF(T44&gt;=0,1,0)</f>
        <v/>
      </c>
      <c r="U51" s="23">
        <f>IF(U44&gt;=0,1,0)</f>
        <v/>
      </c>
      <c r="V51" s="23">
        <f>IF(V44&gt;=0,1,0)</f>
        <v/>
      </c>
      <c r="W51" s="23">
        <f>IF(W44&gt;=0,1,0)</f>
        <v/>
      </c>
      <c r="X51" s="23">
        <f>IF(X44&gt;=0,1,0)</f>
        <v/>
      </c>
      <c r="Y51" s="23">
        <f>IF(Y44&gt;=0,1,0)</f>
        <v/>
      </c>
      <c r="Z51" s="23">
        <f>IF(Z44&gt;=0,1,0)</f>
        <v/>
      </c>
      <c r="AA51" s="23">
        <f>IF(AA44&gt;=0,1,0)</f>
        <v/>
      </c>
      <c r="AB51" s="23">
        <f>IF(AB44&gt;=0,1,0)</f>
        <v/>
      </c>
      <c r="AC51" s="23">
        <f>IF(AC44&gt;=0,1,0)</f>
        <v/>
      </c>
    </row>
    <row r="53">
      <c r="A53" s="24" t="inlineStr">
        <is>
          <t>Resultados do cenário</t>
        </is>
      </c>
      <c r="B53" s="25" t="n"/>
      <c r="C53" s="25" t="n"/>
    </row>
    <row r="54">
      <c r="A54" s="3" t="inlineStr">
        <is>
          <t>Pagantes no fim (Dez/28)</t>
        </is>
      </c>
      <c r="C54" s="31">
        <f>AC23</f>
        <v/>
      </c>
    </row>
    <row r="55">
      <c r="A55" s="3" t="inlineStr">
        <is>
          <t>Receita bruta mensal no fim (Dez/28)</t>
        </is>
      </c>
      <c r="C55" s="32">
        <f>AC28</f>
        <v/>
      </c>
    </row>
    <row r="56">
      <c r="A56" s="3" t="inlineStr">
        <is>
          <t>Resultado operacional em Dez/28</t>
        </is>
      </c>
      <c r="C56" s="32">
        <f>AC41</f>
        <v/>
      </c>
    </row>
    <row r="57">
      <c r="A57" s="3" t="inlineStr">
        <is>
          <t>Primeiro mês com resultado operacional &gt;= 0</t>
        </is>
      </c>
      <c r="C57" s="33">
        <f>IFERROR(INDEX($C$4:$AC$4,MATCH(1,$C$50:$AC$50,0)),"depois de "&amp;$AC$4)</f>
        <v/>
      </c>
    </row>
    <row r="58">
      <c r="A58" s="3" t="inlineStr">
        <is>
          <t>Mês em que o caixa acumulado volta a ser &gt;= 0</t>
        </is>
      </c>
      <c r="C58" s="33">
        <f>IFERROR(INDEX($C$4:$AC$4,MATCH(1,$C$51:$AC$51,0)),"depois de "&amp;$AC$4)</f>
        <v/>
      </c>
    </row>
    <row r="59">
      <c r="A59" s="3" t="inlineStr">
        <is>
          <t>Maior exposição de caixa (o que você precisa bancar)</t>
        </is>
      </c>
      <c r="C59" s="32">
        <f>MIN(C44:AC44)</f>
        <v/>
      </c>
    </row>
    <row r="60">
      <c r="A60" s="3" t="inlineStr">
        <is>
          <t>Caixa acumulado em Dez/28</t>
        </is>
      </c>
      <c r="C60" s="32">
        <f>AC44</f>
        <v/>
      </c>
    </row>
    <row r="61">
      <c r="A61" s="3" t="inlineStr">
        <is>
          <t>Retorno sobre o total gasto (27 meses)</t>
        </is>
      </c>
      <c r="C61" s="34">
        <f>(SUM(C41:AC41)-SUM(C42:AC42))/(SUM(C40:AC40)+SUM(C42:AC42))</f>
        <v/>
      </c>
    </row>
    <row r="62">
      <c r="A62" s="3" t="inlineStr">
        <is>
          <t>Receita bruta média por pagante</t>
        </is>
      </c>
      <c r="C62" s="35">
        <f>Premissas!$B$52*Premissas!$C$6+(1-Premissas!$B$52)*Premissas!$C$7</f>
        <v/>
      </c>
    </row>
    <row r="63">
      <c r="A63" s="3" t="inlineStr">
        <is>
          <t>Receita líquida média por pagante (depois de taxa e imposto)</t>
        </is>
      </c>
      <c r="C63" s="35">
        <f>C62*(1-(Premissas!$C$8*Premissas!$C$9+(1-Premissas!$C$8)*Premissas!$C$10)-Premissas!$C$11)</f>
        <v/>
      </c>
    </row>
    <row r="64">
      <c r="A64" s="3" t="inlineStr">
        <is>
          <t>LTV sem contar o seu tempo</t>
        </is>
      </c>
      <c r="C64" s="32">
        <f>C63/Premissas!$B$51</f>
        <v/>
      </c>
    </row>
    <row r="65">
      <c r="A65" s="3" t="inlineStr">
        <is>
          <t>LTV descontando o seu tempo de suporte</t>
        </is>
      </c>
      <c r="C65" s="32">
        <f>(C63-Premissas!$C$35*Premissas!$C$34)/Premissas!$B$51</f>
        <v/>
      </c>
    </row>
    <row r="66">
      <c r="A66" s="3" t="inlineStr">
        <is>
          <t>CAC em dinheiro (rua + conteúdo por novo pagante)</t>
        </is>
      </c>
      <c r="C66" s="32">
        <f>IFERROR((SUM(C38:AC38)+SUM(C39:AC39))/SUM(C21:AC21),0)</f>
        <v/>
      </c>
    </row>
    <row r="67">
      <c r="A67" s="3" t="inlineStr">
        <is>
          <t>CAC contando o seu tempo</t>
        </is>
      </c>
      <c r="C67" s="32">
        <f>IFERROR((SUM(C38:AC38)+SUM(C39:AC39)+SUM(C46:AC46)*Premissas!$C$34+SUM(C15:AC15)*Premissas!$C$36*Premissas!$C$34)/SUM(C21:AC21),0)</f>
        <v/>
      </c>
    </row>
    <row r="68">
      <c r="A68" s="3" t="inlineStr">
        <is>
          <t>LTV (com suporte) dividido pelo CAC (com tempo)</t>
        </is>
      </c>
      <c r="C68" s="36">
        <f>IFERROR(C65/C67,0)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CICLO · Projeção mês a mês · cenário Base</t>
        </is>
      </c>
    </row>
    <row r="2">
      <c r="A2" s="3" t="inlineStr">
        <is>
          <t>Tudo aqui é fórmula. Mude as premissas na aba Premissas e no Calendário.</t>
        </is>
      </c>
    </row>
    <row r="4">
      <c r="A4" s="4" t="inlineStr">
        <is>
          <t>Linha</t>
        </is>
      </c>
      <c r="B4" s="4" t="inlineStr">
        <is>
          <t>Unid.</t>
        </is>
      </c>
      <c r="C4" s="4" t="inlineStr">
        <is>
          <t>Out/26</t>
        </is>
      </c>
      <c r="D4" s="4" t="inlineStr">
        <is>
          <t>Nov/26</t>
        </is>
      </c>
      <c r="E4" s="4" t="inlineStr">
        <is>
          <t>Dez/26</t>
        </is>
      </c>
      <c r="F4" s="4" t="inlineStr">
        <is>
          <t>Jan/27</t>
        </is>
      </c>
      <c r="G4" s="4" t="inlineStr">
        <is>
          <t>Fev/27</t>
        </is>
      </c>
      <c r="H4" s="4" t="inlineStr">
        <is>
          <t>Mar/27</t>
        </is>
      </c>
      <c r="I4" s="4" t="inlineStr">
        <is>
          <t>Abr/27</t>
        </is>
      </c>
      <c r="J4" s="4" t="inlineStr">
        <is>
          <t>Mai/27</t>
        </is>
      </c>
      <c r="K4" s="4" t="inlineStr">
        <is>
          <t>Jun/27</t>
        </is>
      </c>
      <c r="L4" s="4" t="inlineStr">
        <is>
          <t>Jul/27</t>
        </is>
      </c>
      <c r="M4" s="4" t="inlineStr">
        <is>
          <t>Ago/27</t>
        </is>
      </c>
      <c r="N4" s="4" t="inlineStr">
        <is>
          <t>Set/27</t>
        </is>
      </c>
      <c r="O4" s="4" t="inlineStr">
        <is>
          <t>Out/27</t>
        </is>
      </c>
      <c r="P4" s="4" t="inlineStr">
        <is>
          <t>Nov/27</t>
        </is>
      </c>
      <c r="Q4" s="4" t="inlineStr">
        <is>
          <t>Dez/27</t>
        </is>
      </c>
      <c r="R4" s="4" t="inlineStr">
        <is>
          <t>Jan/28</t>
        </is>
      </c>
      <c r="S4" s="4" t="inlineStr">
        <is>
          <t>Fev/28</t>
        </is>
      </c>
      <c r="T4" s="4" t="inlineStr">
        <is>
          <t>Mar/28</t>
        </is>
      </c>
      <c r="U4" s="4" t="inlineStr">
        <is>
          <t>Abr/28</t>
        </is>
      </c>
      <c r="V4" s="4" t="inlineStr">
        <is>
          <t>Mai/28</t>
        </is>
      </c>
      <c r="W4" s="4" t="inlineStr">
        <is>
          <t>Jun/28</t>
        </is>
      </c>
      <c r="X4" s="4" t="inlineStr">
        <is>
          <t>Jul/28</t>
        </is>
      </c>
      <c r="Y4" s="4" t="inlineStr">
        <is>
          <t>Ago/28</t>
        </is>
      </c>
      <c r="Z4" s="4" t="inlineStr">
        <is>
          <t>Set/28</t>
        </is>
      </c>
      <c r="AA4" s="4" t="inlineStr">
        <is>
          <t>Out/28</t>
        </is>
      </c>
      <c r="AB4" s="4" t="inlineStr">
        <is>
          <t>Nov/28</t>
        </is>
      </c>
      <c r="AC4" s="4" t="inlineStr">
        <is>
          <t>Dez/28</t>
        </is>
      </c>
    </row>
    <row r="5">
      <c r="A5" s="24" t="inlineStr">
        <is>
          <t>Prospecção e contas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 ht="40" customHeight="1">
      <c r="A6" s="3" t="inlineStr">
        <is>
          <t>Fase</t>
        </is>
      </c>
      <c r="B6" s="3" t="inlineStr"/>
      <c r="C6" s="2">
        <f>Calendario!C6</f>
        <v/>
      </c>
      <c r="D6" s="2">
        <f>Calendario!D6</f>
        <v/>
      </c>
      <c r="E6" s="2">
        <f>Calendario!E6</f>
        <v/>
      </c>
      <c r="F6" s="2">
        <f>Calendario!F6</f>
        <v/>
      </c>
      <c r="G6" s="2">
        <f>Calendario!G6</f>
        <v/>
      </c>
      <c r="H6" s="2">
        <f>Calendario!H6</f>
        <v/>
      </c>
      <c r="I6" s="2">
        <f>Calendario!I6</f>
        <v/>
      </c>
      <c r="J6" s="2">
        <f>Calendario!J6</f>
        <v/>
      </c>
      <c r="K6" s="2">
        <f>Calendario!K6</f>
        <v/>
      </c>
      <c r="L6" s="2">
        <f>Calendario!L6</f>
        <v/>
      </c>
      <c r="M6" s="2">
        <f>Calendario!M6</f>
        <v/>
      </c>
      <c r="N6" s="2">
        <f>Calendario!N6</f>
        <v/>
      </c>
      <c r="O6" s="2">
        <f>Calendario!O6</f>
        <v/>
      </c>
      <c r="P6" s="2">
        <f>Calendario!P6</f>
        <v/>
      </c>
      <c r="Q6" s="2">
        <f>Calendario!Q6</f>
        <v/>
      </c>
      <c r="R6" s="2">
        <f>Calendario!R6</f>
        <v/>
      </c>
      <c r="S6" s="2">
        <f>Calendario!S6</f>
        <v/>
      </c>
      <c r="T6" s="2">
        <f>Calendario!T6</f>
        <v/>
      </c>
      <c r="U6" s="2">
        <f>Calendario!U6</f>
        <v/>
      </c>
      <c r="V6" s="2">
        <f>Calendario!V6</f>
        <v/>
      </c>
      <c r="W6" s="2">
        <f>Calendario!W6</f>
        <v/>
      </c>
      <c r="X6" s="2">
        <f>Calendario!X6</f>
        <v/>
      </c>
      <c r="Y6" s="2">
        <f>Calendario!Y6</f>
        <v/>
      </c>
      <c r="Z6" s="2">
        <f>Calendario!Z6</f>
        <v/>
      </c>
      <c r="AA6" s="2">
        <f>Calendario!AA6</f>
        <v/>
      </c>
      <c r="AB6" s="2">
        <f>Calendario!AB6</f>
        <v/>
      </c>
      <c r="AC6" s="2">
        <f>Calendario!AC6</f>
        <v/>
      </c>
    </row>
    <row r="7">
      <c r="A7" s="3" t="inlineStr">
        <is>
          <t>Dias de rua</t>
        </is>
      </c>
      <c r="B7" s="3" t="inlineStr">
        <is>
          <t>dias</t>
        </is>
      </c>
      <c r="C7" s="23">
        <f>Calendario!C7</f>
        <v/>
      </c>
      <c r="D7" s="23">
        <f>Calendario!D7</f>
        <v/>
      </c>
      <c r="E7" s="23">
        <f>Calendario!E7</f>
        <v/>
      </c>
      <c r="F7" s="23">
        <f>Calendario!F7</f>
        <v/>
      </c>
      <c r="G7" s="23">
        <f>Calendario!G7</f>
        <v/>
      </c>
      <c r="H7" s="23">
        <f>Calendario!H7</f>
        <v/>
      </c>
      <c r="I7" s="23">
        <f>Calendario!I7</f>
        <v/>
      </c>
      <c r="J7" s="23">
        <f>Calendario!J7</f>
        <v/>
      </c>
      <c r="K7" s="23">
        <f>Calendario!K7</f>
        <v/>
      </c>
      <c r="L7" s="23">
        <f>Calendario!L7</f>
        <v/>
      </c>
      <c r="M7" s="23">
        <f>Calendario!M7</f>
        <v/>
      </c>
      <c r="N7" s="23">
        <f>Calendario!N7</f>
        <v/>
      </c>
      <c r="O7" s="23">
        <f>Calendario!O7</f>
        <v/>
      </c>
      <c r="P7" s="23">
        <f>Calendario!P7</f>
        <v/>
      </c>
      <c r="Q7" s="23">
        <f>Calendario!Q7</f>
        <v/>
      </c>
      <c r="R7" s="23">
        <f>Calendario!R7</f>
        <v/>
      </c>
      <c r="S7" s="23">
        <f>Calendario!S7</f>
        <v/>
      </c>
      <c r="T7" s="23">
        <f>Calendario!T7</f>
        <v/>
      </c>
      <c r="U7" s="23">
        <f>Calendario!U7</f>
        <v/>
      </c>
      <c r="V7" s="23">
        <f>Calendario!V7</f>
        <v/>
      </c>
      <c r="W7" s="23">
        <f>Calendario!W7</f>
        <v/>
      </c>
      <c r="X7" s="23">
        <f>Calendario!X7</f>
        <v/>
      </c>
      <c r="Y7" s="23">
        <f>Calendario!Y7</f>
        <v/>
      </c>
      <c r="Z7" s="23">
        <f>Calendario!Z7</f>
        <v/>
      </c>
      <c r="AA7" s="23">
        <f>Calendario!AA7</f>
        <v/>
      </c>
      <c r="AB7" s="23">
        <f>Calendario!AB7</f>
        <v/>
      </c>
      <c r="AC7" s="23">
        <f>Calendario!AC7</f>
        <v/>
      </c>
    </row>
    <row r="8">
      <c r="A8" s="3" t="inlineStr">
        <is>
          <t>Abordagens</t>
        </is>
      </c>
      <c r="B8" s="3" t="inlineStr">
        <is>
          <t>n</t>
        </is>
      </c>
      <c r="C8" s="23">
        <f>C7*Premissas!$C$44</f>
        <v/>
      </c>
      <c r="D8" s="23">
        <f>D7*Premissas!$C$44</f>
        <v/>
      </c>
      <c r="E8" s="23">
        <f>E7*Premissas!$C$44</f>
        <v/>
      </c>
      <c r="F8" s="23">
        <f>F7*Premissas!$C$44</f>
        <v/>
      </c>
      <c r="G8" s="23">
        <f>G7*Premissas!$C$44</f>
        <v/>
      </c>
      <c r="H8" s="23">
        <f>H7*Premissas!$C$44</f>
        <v/>
      </c>
      <c r="I8" s="23">
        <f>I7*Premissas!$C$44</f>
        <v/>
      </c>
      <c r="J8" s="23">
        <f>J7*Premissas!$C$44</f>
        <v/>
      </c>
      <c r="K8" s="23">
        <f>K7*Premissas!$C$44</f>
        <v/>
      </c>
      <c r="L8" s="23">
        <f>L7*Premissas!$C$44</f>
        <v/>
      </c>
      <c r="M8" s="23">
        <f>M7*Premissas!$C$44</f>
        <v/>
      </c>
      <c r="N8" s="23">
        <f>N7*Premissas!$C$44</f>
        <v/>
      </c>
      <c r="O8" s="23">
        <f>O7*Premissas!$C$44</f>
        <v/>
      </c>
      <c r="P8" s="23">
        <f>P7*Premissas!$C$44</f>
        <v/>
      </c>
      <c r="Q8" s="23">
        <f>Q7*Premissas!$C$44</f>
        <v/>
      </c>
      <c r="R8" s="23">
        <f>R7*Premissas!$C$44</f>
        <v/>
      </c>
      <c r="S8" s="23">
        <f>S7*Premissas!$C$44</f>
        <v/>
      </c>
      <c r="T8" s="23">
        <f>T7*Premissas!$C$44</f>
        <v/>
      </c>
      <c r="U8" s="23">
        <f>U7*Premissas!$C$44</f>
        <v/>
      </c>
      <c r="V8" s="23">
        <f>V7*Premissas!$C$44</f>
        <v/>
      </c>
      <c r="W8" s="23">
        <f>W7*Premissas!$C$44</f>
        <v/>
      </c>
      <c r="X8" s="23">
        <f>X7*Premissas!$C$44</f>
        <v/>
      </c>
      <c r="Y8" s="23">
        <f>Y7*Premissas!$C$44</f>
        <v/>
      </c>
      <c r="Z8" s="23">
        <f>Z7*Premissas!$C$44</f>
        <v/>
      </c>
      <c r="AA8" s="23">
        <f>AA7*Premissas!$C$44</f>
        <v/>
      </c>
      <c r="AB8" s="23">
        <f>AB7*Premissas!$C$44</f>
        <v/>
      </c>
      <c r="AC8" s="23">
        <f>AC7*Premissas!$C$44</f>
        <v/>
      </c>
    </row>
    <row r="9">
      <c r="A9" s="3" t="inlineStr">
        <is>
          <t>Conversas de verdade</t>
        </is>
      </c>
      <c r="B9" s="3" t="inlineStr">
        <is>
          <t>n</t>
        </is>
      </c>
      <c r="C9" s="23">
        <f>C8*Premissas!$C$47</f>
        <v/>
      </c>
      <c r="D9" s="23">
        <f>D8*Premissas!$C$47</f>
        <v/>
      </c>
      <c r="E9" s="23">
        <f>E8*Premissas!$C$47</f>
        <v/>
      </c>
      <c r="F9" s="23">
        <f>F8*Premissas!$C$47</f>
        <v/>
      </c>
      <c r="G9" s="23">
        <f>G8*Premissas!$C$47</f>
        <v/>
      </c>
      <c r="H9" s="23">
        <f>H8*Premissas!$C$47</f>
        <v/>
      </c>
      <c r="I9" s="23">
        <f>I8*Premissas!$C$47</f>
        <v/>
      </c>
      <c r="J9" s="23">
        <f>J8*Premissas!$C$47</f>
        <v/>
      </c>
      <c r="K9" s="23">
        <f>K8*Premissas!$C$47</f>
        <v/>
      </c>
      <c r="L9" s="23">
        <f>L8*Premissas!$C$47</f>
        <v/>
      </c>
      <c r="M9" s="23">
        <f>M8*Premissas!$C$47</f>
        <v/>
      </c>
      <c r="N9" s="23">
        <f>N8*Premissas!$C$47</f>
        <v/>
      </c>
      <c r="O9" s="23">
        <f>O8*Premissas!$C$47</f>
        <v/>
      </c>
      <c r="P9" s="23">
        <f>P8*Premissas!$C$47</f>
        <v/>
      </c>
      <c r="Q9" s="23">
        <f>Q8*Premissas!$C$47</f>
        <v/>
      </c>
      <c r="R9" s="23">
        <f>R8*Premissas!$C$47</f>
        <v/>
      </c>
      <c r="S9" s="23">
        <f>S8*Premissas!$C$47</f>
        <v/>
      </c>
      <c r="T9" s="23">
        <f>T8*Premissas!$C$47</f>
        <v/>
      </c>
      <c r="U9" s="23">
        <f>U8*Premissas!$C$47</f>
        <v/>
      </c>
      <c r="V9" s="23">
        <f>V8*Premissas!$C$47</f>
        <v/>
      </c>
      <c r="W9" s="23">
        <f>W8*Premissas!$C$47</f>
        <v/>
      </c>
      <c r="X9" s="23">
        <f>X8*Premissas!$C$47</f>
        <v/>
      </c>
      <c r="Y9" s="23">
        <f>Y8*Premissas!$C$47</f>
        <v/>
      </c>
      <c r="Z9" s="23">
        <f>Z8*Premissas!$C$47</f>
        <v/>
      </c>
      <c r="AA9" s="23">
        <f>AA8*Premissas!$C$47</f>
        <v/>
      </c>
      <c r="AB9" s="23">
        <f>AB8*Premissas!$C$47</f>
        <v/>
      </c>
      <c r="AC9" s="23">
        <f>AC8*Premissas!$C$47</f>
        <v/>
      </c>
    </row>
    <row r="10">
      <c r="A10" s="3" t="inlineStr">
        <is>
          <t>Contas por prospecção</t>
        </is>
      </c>
      <c r="B10" s="3" t="inlineStr">
        <is>
          <t>n</t>
        </is>
      </c>
      <c r="C10" s="23">
        <f>C9*Premissas!$C$48</f>
        <v/>
      </c>
      <c r="D10" s="23">
        <f>D9*Premissas!$C$48</f>
        <v/>
      </c>
      <c r="E10" s="23">
        <f>E9*Premissas!$C$48</f>
        <v/>
      </c>
      <c r="F10" s="23">
        <f>F9*Premissas!$C$48</f>
        <v/>
      </c>
      <c r="G10" s="23">
        <f>G9*Premissas!$C$48</f>
        <v/>
      </c>
      <c r="H10" s="23">
        <f>H9*Premissas!$C$48</f>
        <v/>
      </c>
      <c r="I10" s="23">
        <f>I9*Premissas!$C$48</f>
        <v/>
      </c>
      <c r="J10" s="23">
        <f>J9*Premissas!$C$48</f>
        <v/>
      </c>
      <c r="K10" s="23">
        <f>K9*Premissas!$C$48</f>
        <v/>
      </c>
      <c r="L10" s="23">
        <f>L9*Premissas!$C$48</f>
        <v/>
      </c>
      <c r="M10" s="23">
        <f>M9*Premissas!$C$48</f>
        <v/>
      </c>
      <c r="N10" s="23">
        <f>N9*Premissas!$C$48</f>
        <v/>
      </c>
      <c r="O10" s="23">
        <f>O9*Premissas!$C$48</f>
        <v/>
      </c>
      <c r="P10" s="23">
        <f>P9*Premissas!$C$48</f>
        <v/>
      </c>
      <c r="Q10" s="23">
        <f>Q9*Premissas!$C$48</f>
        <v/>
      </c>
      <c r="R10" s="23">
        <f>R9*Premissas!$C$48</f>
        <v/>
      </c>
      <c r="S10" s="23">
        <f>S9*Premissas!$C$48</f>
        <v/>
      </c>
      <c r="T10" s="23">
        <f>T9*Premissas!$C$48</f>
        <v/>
      </c>
      <c r="U10" s="23">
        <f>U9*Premissas!$C$48</f>
        <v/>
      </c>
      <c r="V10" s="23">
        <f>V9*Premissas!$C$48</f>
        <v/>
      </c>
      <c r="W10" s="23">
        <f>W9*Premissas!$C$48</f>
        <v/>
      </c>
      <c r="X10" s="23">
        <f>X9*Premissas!$C$48</f>
        <v/>
      </c>
      <c r="Y10" s="23">
        <f>Y9*Premissas!$C$48</f>
        <v/>
      </c>
      <c r="Z10" s="23">
        <f>Z9*Premissas!$C$48</f>
        <v/>
      </c>
      <c r="AA10" s="23">
        <f>AA9*Premissas!$C$48</f>
        <v/>
      </c>
      <c r="AB10" s="23">
        <f>AB9*Premissas!$C$48</f>
        <v/>
      </c>
      <c r="AC10" s="23">
        <f>AC9*Premissas!$C$48</f>
        <v/>
      </c>
    </row>
    <row r="11">
      <c r="A11" s="3" t="inlineStr">
        <is>
          <t>Contas por indicação, parceiros e conteúdo</t>
        </is>
      </c>
      <c r="B11" s="3" t="inlineStr">
        <is>
          <t>n</t>
        </is>
      </c>
      <c r="C11" s="23">
        <f>0*Premissas!$C$53+Calendario!C11*Premissas!$C$54</f>
        <v/>
      </c>
      <c r="D11" s="23">
        <f>C23*Premissas!$C$53+Calendario!D11*Premissas!$C$54</f>
        <v/>
      </c>
      <c r="E11" s="23">
        <f>D23*Premissas!$C$53+Calendario!E11*Premissas!$C$54</f>
        <v/>
      </c>
      <c r="F11" s="23">
        <f>E23*Premissas!$C$53+Calendario!F11*Premissas!$C$54</f>
        <v/>
      </c>
      <c r="G11" s="23">
        <f>F23*Premissas!$C$53+Calendario!G11*Premissas!$C$54</f>
        <v/>
      </c>
      <c r="H11" s="23">
        <f>G23*Premissas!$C$53+Calendario!H11*Premissas!$C$54</f>
        <v/>
      </c>
      <c r="I11" s="23">
        <f>H23*Premissas!$C$53+Calendario!I11*Premissas!$C$54</f>
        <v/>
      </c>
      <c r="J11" s="23">
        <f>I23*Premissas!$C$53+Calendario!J11*Premissas!$C$54</f>
        <v/>
      </c>
      <c r="K11" s="23">
        <f>J23*Premissas!$C$53+Calendario!K11*Premissas!$C$54</f>
        <v/>
      </c>
      <c r="L11" s="23">
        <f>K23*Premissas!$C$53+Calendario!L11*Premissas!$C$54</f>
        <v/>
      </c>
      <c r="M11" s="23">
        <f>L23*Premissas!$C$53+Calendario!M11*Premissas!$C$54</f>
        <v/>
      </c>
      <c r="N11" s="23">
        <f>M23*Premissas!$C$53+Calendario!N11*Premissas!$C$54</f>
        <v/>
      </c>
      <c r="O11" s="23">
        <f>N23*Premissas!$C$53+Calendario!O11*Premissas!$C$54</f>
        <v/>
      </c>
      <c r="P11" s="23">
        <f>O23*Premissas!$C$53+Calendario!P11*Premissas!$C$54</f>
        <v/>
      </c>
      <c r="Q11" s="23">
        <f>P23*Premissas!$C$53+Calendario!Q11*Premissas!$C$54</f>
        <v/>
      </c>
      <c r="R11" s="23">
        <f>Q23*Premissas!$C$53+Calendario!R11*Premissas!$C$54</f>
        <v/>
      </c>
      <c r="S11" s="23">
        <f>R23*Premissas!$C$53+Calendario!S11*Premissas!$C$54</f>
        <v/>
      </c>
      <c r="T11" s="23">
        <f>S23*Premissas!$C$53+Calendario!T11*Premissas!$C$54</f>
        <v/>
      </c>
      <c r="U11" s="23">
        <f>T23*Premissas!$C$53+Calendario!U11*Premissas!$C$54</f>
        <v/>
      </c>
      <c r="V11" s="23">
        <f>U23*Premissas!$C$53+Calendario!V11*Premissas!$C$54</f>
        <v/>
      </c>
      <c r="W11" s="23">
        <f>V23*Premissas!$C$53+Calendario!W11*Premissas!$C$54</f>
        <v/>
      </c>
      <c r="X11" s="23">
        <f>W23*Premissas!$C$53+Calendario!X11*Premissas!$C$54</f>
        <v/>
      </c>
      <c r="Y11" s="23">
        <f>X23*Premissas!$C$53+Calendario!Y11*Premissas!$C$54</f>
        <v/>
      </c>
      <c r="Z11" s="23">
        <f>Y23*Premissas!$C$53+Calendario!Z11*Premissas!$C$54</f>
        <v/>
      </c>
      <c r="AA11" s="23">
        <f>Z23*Premissas!$C$53+Calendario!AA11*Premissas!$C$54</f>
        <v/>
      </c>
      <c r="AB11" s="23">
        <f>AA23*Premissas!$C$53+Calendario!AB11*Premissas!$C$54</f>
        <v/>
      </c>
      <c r="AC11" s="23">
        <f>AB23*Premissas!$C$53+Calendario!AC11*Premissas!$C$54</f>
        <v/>
      </c>
    </row>
    <row r="12">
      <c r="A12" s="3" t="inlineStr">
        <is>
          <t>Contas do alpha (convidadas)</t>
        </is>
      </c>
      <c r="B12" s="3" t="inlineStr">
        <is>
          <t>n</t>
        </is>
      </c>
      <c r="C12" s="23">
        <f>Calendario!C10*Premissas!$C$41</f>
        <v/>
      </c>
      <c r="D12" s="23">
        <f>Calendario!D10*Premissas!$C$41</f>
        <v/>
      </c>
      <c r="E12" s="23">
        <f>Calendario!E10*Premissas!$C$41</f>
        <v/>
      </c>
      <c r="F12" s="23">
        <f>Calendario!F10*Premissas!$C$41</f>
        <v/>
      </c>
      <c r="G12" s="23">
        <f>Calendario!G10*Premissas!$C$41</f>
        <v/>
      </c>
      <c r="H12" s="23">
        <f>Calendario!H10*Premissas!$C$41</f>
        <v/>
      </c>
      <c r="I12" s="23">
        <f>Calendario!I10*Premissas!$C$41</f>
        <v/>
      </c>
      <c r="J12" s="23">
        <f>Calendario!J10*Premissas!$C$41</f>
        <v/>
      </c>
      <c r="K12" s="23">
        <f>Calendario!K10*Premissas!$C$41</f>
        <v/>
      </c>
      <c r="L12" s="23">
        <f>Calendario!L10*Premissas!$C$41</f>
        <v/>
      </c>
      <c r="M12" s="23">
        <f>Calendario!M10*Premissas!$C$41</f>
        <v/>
      </c>
      <c r="N12" s="23">
        <f>Calendario!N10*Premissas!$C$41</f>
        <v/>
      </c>
      <c r="O12" s="23">
        <f>Calendario!O10*Premissas!$C$41</f>
        <v/>
      </c>
      <c r="P12" s="23">
        <f>Calendario!P10*Premissas!$C$41</f>
        <v/>
      </c>
      <c r="Q12" s="23">
        <f>Calendario!Q10*Premissas!$C$41</f>
        <v/>
      </c>
      <c r="R12" s="23">
        <f>Calendario!R10*Premissas!$C$41</f>
        <v/>
      </c>
      <c r="S12" s="23">
        <f>Calendario!S10*Premissas!$C$41</f>
        <v/>
      </c>
      <c r="T12" s="23">
        <f>Calendario!T10*Premissas!$C$41</f>
        <v/>
      </c>
      <c r="U12" s="23">
        <f>Calendario!U10*Premissas!$C$41</f>
        <v/>
      </c>
      <c r="V12" s="23">
        <f>Calendario!V10*Premissas!$C$41</f>
        <v/>
      </c>
      <c r="W12" s="23">
        <f>Calendario!W10*Premissas!$C$41</f>
        <v/>
      </c>
      <c r="X12" s="23">
        <f>Calendario!X10*Premissas!$C$41</f>
        <v/>
      </c>
      <c r="Y12" s="23">
        <f>Calendario!Y10*Premissas!$C$41</f>
        <v/>
      </c>
      <c r="Z12" s="23">
        <f>Calendario!Z10*Premissas!$C$41</f>
        <v/>
      </c>
      <c r="AA12" s="23">
        <f>Calendario!AA10*Premissas!$C$41</f>
        <v/>
      </c>
      <c r="AB12" s="23">
        <f>Calendario!AB10*Premissas!$C$41</f>
        <v/>
      </c>
      <c r="AC12" s="23">
        <f>Calendario!AC10*Premissas!$C$41</f>
        <v/>
      </c>
    </row>
    <row r="13">
      <c r="A13" s="3" t="inlineStr">
        <is>
          <t>Demanda total de contas</t>
        </is>
      </c>
      <c r="B13" s="3" t="inlineStr">
        <is>
          <t>n</t>
        </is>
      </c>
      <c r="C13" s="23">
        <f>C10+C11+C12</f>
        <v/>
      </c>
      <c r="D13" s="23">
        <f>D10+D11+D12</f>
        <v/>
      </c>
      <c r="E13" s="23">
        <f>E10+E11+E12</f>
        <v/>
      </c>
      <c r="F13" s="23">
        <f>F10+F11+F12</f>
        <v/>
      </c>
      <c r="G13" s="23">
        <f>G10+G11+G12</f>
        <v/>
      </c>
      <c r="H13" s="23">
        <f>H10+H11+H12</f>
        <v/>
      </c>
      <c r="I13" s="23">
        <f>I10+I11+I12</f>
        <v/>
      </c>
      <c r="J13" s="23">
        <f>J10+J11+J12</f>
        <v/>
      </c>
      <c r="K13" s="23">
        <f>K10+K11+K12</f>
        <v/>
      </c>
      <c r="L13" s="23">
        <f>L10+L11+L12</f>
        <v/>
      </c>
      <c r="M13" s="23">
        <f>M10+M11+M12</f>
        <v/>
      </c>
      <c r="N13" s="23">
        <f>N10+N11+N12</f>
        <v/>
      </c>
      <c r="O13" s="23">
        <f>O10+O11+O12</f>
        <v/>
      </c>
      <c r="P13" s="23">
        <f>P10+P11+P12</f>
        <v/>
      </c>
      <c r="Q13" s="23">
        <f>Q10+Q11+Q12</f>
        <v/>
      </c>
      <c r="R13" s="23">
        <f>R10+R11+R12</f>
        <v/>
      </c>
      <c r="S13" s="23">
        <f>S10+S11+S12</f>
        <v/>
      </c>
      <c r="T13" s="23">
        <f>T10+T11+T12</f>
        <v/>
      </c>
      <c r="U13" s="23">
        <f>U10+U11+U12</f>
        <v/>
      </c>
      <c r="V13" s="23">
        <f>V10+V11+V12</f>
        <v/>
      </c>
      <c r="W13" s="23">
        <f>W10+W11+W12</f>
        <v/>
      </c>
      <c r="X13" s="23">
        <f>X10+X11+X12</f>
        <v/>
      </c>
      <c r="Y13" s="23">
        <f>Y10+Y11+Y12</f>
        <v/>
      </c>
      <c r="Z13" s="23">
        <f>Z10+Z11+Z12</f>
        <v/>
      </c>
      <c r="AA13" s="23">
        <f>AA10+AA11+AA12</f>
        <v/>
      </c>
      <c r="AB13" s="23">
        <f>AB10+AB11+AB12</f>
        <v/>
      </c>
      <c r="AC13" s="23">
        <f>AC10+AC11+AC12</f>
        <v/>
      </c>
    </row>
    <row r="14">
      <c r="A14" s="3" t="inlineStr">
        <is>
          <t>Capacidade de atender</t>
        </is>
      </c>
      <c r="B14" s="3" t="inlineStr">
        <is>
          <t>n</t>
        </is>
      </c>
      <c r="C14" s="23">
        <f>IF(Calendario!C8=0,MAX(0,Premissas!$C$42-0),Premissas!$C$43)</f>
        <v/>
      </c>
      <c r="D14" s="23">
        <f>IF(Calendario!D8=0,MAX(0,Premissas!$C$42-C17),Premissas!$C$43)</f>
        <v/>
      </c>
      <c r="E14" s="23">
        <f>IF(Calendario!E8=0,MAX(0,Premissas!$C$42-D17),Premissas!$C$43)</f>
        <v/>
      </c>
      <c r="F14" s="23">
        <f>IF(Calendario!F8=0,MAX(0,Premissas!$C$42-E17),Premissas!$C$43)</f>
        <v/>
      </c>
      <c r="G14" s="23">
        <f>IF(Calendario!G8=0,MAX(0,Premissas!$C$42-F17),Premissas!$C$43)</f>
        <v/>
      </c>
      <c r="H14" s="23">
        <f>IF(Calendario!H8=0,MAX(0,Premissas!$C$42-G17),Premissas!$C$43)</f>
        <v/>
      </c>
      <c r="I14" s="23">
        <f>IF(Calendario!I8=0,MAX(0,Premissas!$C$42-H17),Premissas!$C$43)</f>
        <v/>
      </c>
      <c r="J14" s="23">
        <f>IF(Calendario!J8=0,MAX(0,Premissas!$C$42-I17),Premissas!$C$43)</f>
        <v/>
      </c>
      <c r="K14" s="23">
        <f>IF(Calendario!K8=0,MAX(0,Premissas!$C$42-J17),Premissas!$C$43)</f>
        <v/>
      </c>
      <c r="L14" s="23">
        <f>IF(Calendario!L8=0,MAX(0,Premissas!$C$42-K17),Premissas!$C$43)</f>
        <v/>
      </c>
      <c r="M14" s="23">
        <f>IF(Calendario!M8=0,MAX(0,Premissas!$C$42-L17),Premissas!$C$43)</f>
        <v/>
      </c>
      <c r="N14" s="23">
        <f>IF(Calendario!N8=0,MAX(0,Premissas!$C$42-M17),Premissas!$C$43)</f>
        <v/>
      </c>
      <c r="O14" s="23">
        <f>IF(Calendario!O8=0,MAX(0,Premissas!$C$42-N17),Premissas!$C$43)</f>
        <v/>
      </c>
      <c r="P14" s="23">
        <f>IF(Calendario!P8=0,MAX(0,Premissas!$C$42-O17),Premissas!$C$43)</f>
        <v/>
      </c>
      <c r="Q14" s="23">
        <f>IF(Calendario!Q8=0,MAX(0,Premissas!$C$42-P17),Premissas!$C$43)</f>
        <v/>
      </c>
      <c r="R14" s="23">
        <f>IF(Calendario!R8=0,MAX(0,Premissas!$C$42-Q17),Premissas!$C$43)</f>
        <v/>
      </c>
      <c r="S14" s="23">
        <f>IF(Calendario!S8=0,MAX(0,Premissas!$C$42-R17),Premissas!$C$43)</f>
        <v/>
      </c>
      <c r="T14" s="23">
        <f>IF(Calendario!T8=0,MAX(0,Premissas!$C$42-S17),Premissas!$C$43)</f>
        <v/>
      </c>
      <c r="U14" s="23">
        <f>IF(Calendario!U8=0,MAX(0,Premissas!$C$42-T17),Premissas!$C$43)</f>
        <v/>
      </c>
      <c r="V14" s="23">
        <f>IF(Calendario!V8=0,MAX(0,Premissas!$C$42-U17),Premissas!$C$43)</f>
        <v/>
      </c>
      <c r="W14" s="23">
        <f>IF(Calendario!W8=0,MAX(0,Premissas!$C$42-V17),Premissas!$C$43)</f>
        <v/>
      </c>
      <c r="X14" s="23">
        <f>IF(Calendario!X8=0,MAX(0,Premissas!$C$42-W17),Premissas!$C$43)</f>
        <v/>
      </c>
      <c r="Y14" s="23">
        <f>IF(Calendario!Y8=0,MAX(0,Premissas!$C$42-X17),Premissas!$C$43)</f>
        <v/>
      </c>
      <c r="Z14" s="23">
        <f>IF(Calendario!Z8=0,MAX(0,Premissas!$C$42-Y17),Premissas!$C$43)</f>
        <v/>
      </c>
      <c r="AA14" s="23">
        <f>IF(Calendario!AA8=0,MAX(0,Premissas!$C$42-Z17),Premissas!$C$43)</f>
        <v/>
      </c>
      <c r="AB14" s="23">
        <f>IF(Calendario!AB8=0,MAX(0,Premissas!$C$42-AA17),Premissas!$C$43)</f>
        <v/>
      </c>
      <c r="AC14" s="23">
        <f>IF(Calendario!AC8=0,MAX(0,Premissas!$C$42-AB17),Premissas!$C$43)</f>
        <v/>
      </c>
    </row>
    <row r="15">
      <c r="A15" s="3" t="inlineStr">
        <is>
          <t>Contas criadas</t>
        </is>
      </c>
      <c r="B15" s="3" t="inlineStr">
        <is>
          <t>n</t>
        </is>
      </c>
      <c r="C15" s="23">
        <f>MIN(C13,C14)</f>
        <v/>
      </c>
      <c r="D15" s="23">
        <f>MIN(D13,D14)</f>
        <v/>
      </c>
      <c r="E15" s="23">
        <f>MIN(E13,E14)</f>
        <v/>
      </c>
      <c r="F15" s="23">
        <f>MIN(F13,F14)</f>
        <v/>
      </c>
      <c r="G15" s="23">
        <f>MIN(G13,G14)</f>
        <v/>
      </c>
      <c r="H15" s="23">
        <f>MIN(H13,H14)</f>
        <v/>
      </c>
      <c r="I15" s="23">
        <f>MIN(I13,I14)</f>
        <v/>
      </c>
      <c r="J15" s="23">
        <f>MIN(J13,J14)</f>
        <v/>
      </c>
      <c r="K15" s="23">
        <f>MIN(K13,K14)</f>
        <v/>
      </c>
      <c r="L15" s="23">
        <f>MIN(L13,L14)</f>
        <v/>
      </c>
      <c r="M15" s="23">
        <f>MIN(M13,M14)</f>
        <v/>
      </c>
      <c r="N15" s="23">
        <f>MIN(N13,N14)</f>
        <v/>
      </c>
      <c r="O15" s="23">
        <f>MIN(O13,O14)</f>
        <v/>
      </c>
      <c r="P15" s="23">
        <f>MIN(P13,P14)</f>
        <v/>
      </c>
      <c r="Q15" s="23">
        <f>MIN(Q13,Q14)</f>
        <v/>
      </c>
      <c r="R15" s="23">
        <f>MIN(R13,R14)</f>
        <v/>
      </c>
      <c r="S15" s="23">
        <f>MIN(S13,S14)</f>
        <v/>
      </c>
      <c r="T15" s="23">
        <f>MIN(T13,T14)</f>
        <v/>
      </c>
      <c r="U15" s="23">
        <f>MIN(U13,U14)</f>
        <v/>
      </c>
      <c r="V15" s="23">
        <f>MIN(V13,V14)</f>
        <v/>
      </c>
      <c r="W15" s="23">
        <f>MIN(W13,W14)</f>
        <v/>
      </c>
      <c r="X15" s="23">
        <f>MIN(X13,X14)</f>
        <v/>
      </c>
      <c r="Y15" s="23">
        <f>MIN(Y13,Y14)</f>
        <v/>
      </c>
      <c r="Z15" s="23">
        <f>MIN(Z13,Z14)</f>
        <v/>
      </c>
      <c r="AA15" s="23">
        <f>MIN(AA13,AA14)</f>
        <v/>
      </c>
      <c r="AB15" s="23">
        <f>MIN(AB13,AB14)</f>
        <v/>
      </c>
      <c r="AC15" s="23">
        <f>MIN(AC13,AC14)</f>
        <v/>
      </c>
    </row>
    <row r="16">
      <c r="A16" s="3" t="inlineStr">
        <is>
          <t>Fila de espera gerada</t>
        </is>
      </c>
      <c r="B16" s="3" t="inlineStr">
        <is>
          <t>n</t>
        </is>
      </c>
      <c r="C16" s="23">
        <f>C13-C15</f>
        <v/>
      </c>
      <c r="D16" s="23">
        <f>D13-D15</f>
        <v/>
      </c>
      <c r="E16" s="23">
        <f>E13-E15</f>
        <v/>
      </c>
      <c r="F16" s="23">
        <f>F13-F15</f>
        <v/>
      </c>
      <c r="G16" s="23">
        <f>G13-G15</f>
        <v/>
      </c>
      <c r="H16" s="23">
        <f>H13-H15</f>
        <v/>
      </c>
      <c r="I16" s="23">
        <f>I13-I15</f>
        <v/>
      </c>
      <c r="J16" s="23">
        <f>J13-J15</f>
        <v/>
      </c>
      <c r="K16" s="23">
        <f>K13-K15</f>
        <v/>
      </c>
      <c r="L16" s="23">
        <f>L13-L15</f>
        <v/>
      </c>
      <c r="M16" s="23">
        <f>M13-M15</f>
        <v/>
      </c>
      <c r="N16" s="23">
        <f>N13-N15</f>
        <v/>
      </c>
      <c r="O16" s="23">
        <f>O13-O15</f>
        <v/>
      </c>
      <c r="P16" s="23">
        <f>P13-P15</f>
        <v/>
      </c>
      <c r="Q16" s="23">
        <f>Q13-Q15</f>
        <v/>
      </c>
      <c r="R16" s="23">
        <f>R13-R15</f>
        <v/>
      </c>
      <c r="S16" s="23">
        <f>S13-S15</f>
        <v/>
      </c>
      <c r="T16" s="23">
        <f>T13-T15</f>
        <v/>
      </c>
      <c r="U16" s="23">
        <f>U13-U15</f>
        <v/>
      </c>
      <c r="V16" s="23">
        <f>V13-V15</f>
        <v/>
      </c>
      <c r="W16" s="23">
        <f>W13-W15</f>
        <v/>
      </c>
      <c r="X16" s="23">
        <f>X13-X15</f>
        <v/>
      </c>
      <c r="Y16" s="23">
        <f>Y13-Y15</f>
        <v/>
      </c>
      <c r="Z16" s="23">
        <f>Z13-Z15</f>
        <v/>
      </c>
      <c r="AA16" s="23">
        <f>AA13-AA15</f>
        <v/>
      </c>
      <c r="AB16" s="23">
        <f>AB13-AB15</f>
        <v/>
      </c>
      <c r="AC16" s="23">
        <f>AC13-AC15</f>
        <v/>
      </c>
    </row>
    <row r="17">
      <c r="A17" s="3" t="inlineStr">
        <is>
          <t>Contas acumuladas</t>
        </is>
      </c>
      <c r="B17" s="3" t="inlineStr">
        <is>
          <t>n</t>
        </is>
      </c>
      <c r="C17" s="23">
        <f>0+C15</f>
        <v/>
      </c>
      <c r="D17" s="23">
        <f>C17+D15</f>
        <v/>
      </c>
      <c r="E17" s="23">
        <f>D17+E15</f>
        <v/>
      </c>
      <c r="F17" s="23">
        <f>E17+F15</f>
        <v/>
      </c>
      <c r="G17" s="23">
        <f>F17+G15</f>
        <v/>
      </c>
      <c r="H17" s="23">
        <f>G17+H15</f>
        <v/>
      </c>
      <c r="I17" s="23">
        <f>H17+I15</f>
        <v/>
      </c>
      <c r="J17" s="23">
        <f>I17+J15</f>
        <v/>
      </c>
      <c r="K17" s="23">
        <f>J17+K15</f>
        <v/>
      </c>
      <c r="L17" s="23">
        <f>K17+L15</f>
        <v/>
      </c>
      <c r="M17" s="23">
        <f>L17+M15</f>
        <v/>
      </c>
      <c r="N17" s="23">
        <f>M17+N15</f>
        <v/>
      </c>
      <c r="O17" s="23">
        <f>N17+O15</f>
        <v/>
      </c>
      <c r="P17" s="23">
        <f>O17+P15</f>
        <v/>
      </c>
      <c r="Q17" s="23">
        <f>P17+Q15</f>
        <v/>
      </c>
      <c r="R17" s="23">
        <f>Q17+R15</f>
        <v/>
      </c>
      <c r="S17" s="23">
        <f>R17+S15</f>
        <v/>
      </c>
      <c r="T17" s="23">
        <f>S17+T15</f>
        <v/>
      </c>
      <c r="U17" s="23">
        <f>T17+U15</f>
        <v/>
      </c>
      <c r="V17" s="23">
        <f>U17+V15</f>
        <v/>
      </c>
      <c r="W17" s="23">
        <f>V17+W15</f>
        <v/>
      </c>
      <c r="X17" s="23">
        <f>W17+X15</f>
        <v/>
      </c>
      <c r="Y17" s="23">
        <f>X17+Y15</f>
        <v/>
      </c>
      <c r="Z17" s="23">
        <f>Y17+Z15</f>
        <v/>
      </c>
      <c r="AA17" s="23">
        <f>Z17+AA15</f>
        <v/>
      </c>
      <c r="AB17" s="23">
        <f>AA17+AB15</f>
        <v/>
      </c>
      <c r="AC17" s="23">
        <f>AB17+AC15</f>
        <v/>
      </c>
    </row>
    <row r="18">
      <c r="A18" s="3" t="inlineStr">
        <is>
          <t>Contas ativas novas</t>
        </is>
      </c>
      <c r="B18" s="3" t="inlineStr">
        <is>
          <t>n</t>
        </is>
      </c>
      <c r="C18" s="23">
        <f>C15*Premissas!$C$49</f>
        <v/>
      </c>
      <c r="D18" s="23">
        <f>D15*Premissas!$C$49</f>
        <v/>
      </c>
      <c r="E18" s="23">
        <f>E15*Premissas!$C$49</f>
        <v/>
      </c>
      <c r="F18" s="23">
        <f>F15*Premissas!$C$49</f>
        <v/>
      </c>
      <c r="G18" s="23">
        <f>G15*Premissas!$C$49</f>
        <v/>
      </c>
      <c r="H18" s="23">
        <f>H15*Premissas!$C$49</f>
        <v/>
      </c>
      <c r="I18" s="23">
        <f>I15*Premissas!$C$49</f>
        <v/>
      </c>
      <c r="J18" s="23">
        <f>J15*Premissas!$C$49</f>
        <v/>
      </c>
      <c r="K18" s="23">
        <f>K15*Premissas!$C$49</f>
        <v/>
      </c>
      <c r="L18" s="23">
        <f>L15*Premissas!$C$49</f>
        <v/>
      </c>
      <c r="M18" s="23">
        <f>M15*Premissas!$C$49</f>
        <v/>
      </c>
      <c r="N18" s="23">
        <f>N15*Premissas!$C$49</f>
        <v/>
      </c>
      <c r="O18" s="23">
        <f>O15*Premissas!$C$49</f>
        <v/>
      </c>
      <c r="P18" s="23">
        <f>P15*Premissas!$C$49</f>
        <v/>
      </c>
      <c r="Q18" s="23">
        <f>Q15*Premissas!$C$49</f>
        <v/>
      </c>
      <c r="R18" s="23">
        <f>R15*Premissas!$C$49</f>
        <v/>
      </c>
      <c r="S18" s="23">
        <f>S15*Premissas!$C$49</f>
        <v/>
      </c>
      <c r="T18" s="23">
        <f>T15*Premissas!$C$49</f>
        <v/>
      </c>
      <c r="U18" s="23">
        <f>U15*Premissas!$C$49</f>
        <v/>
      </c>
      <c r="V18" s="23">
        <f>V15*Premissas!$C$49</f>
        <v/>
      </c>
      <c r="W18" s="23">
        <f>W15*Premissas!$C$49</f>
        <v/>
      </c>
      <c r="X18" s="23">
        <f>X15*Premissas!$C$49</f>
        <v/>
      </c>
      <c r="Y18" s="23">
        <f>Y15*Premissas!$C$49</f>
        <v/>
      </c>
      <c r="Z18" s="23">
        <f>Z15*Premissas!$C$49</f>
        <v/>
      </c>
      <c r="AA18" s="23">
        <f>AA15*Premissas!$C$49</f>
        <v/>
      </c>
      <c r="AB18" s="23">
        <f>AB15*Premissas!$C$49</f>
        <v/>
      </c>
      <c r="AC18" s="23">
        <f>AC15*Premissas!$C$49</f>
        <v/>
      </c>
    </row>
    <row r="19">
      <c r="A19" s="24" t="inlineStr">
        <is>
          <t>Pagantes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>
      <c r="A20" s="3" t="inlineStr">
        <is>
          <t>Pagantes no início</t>
        </is>
      </c>
      <c r="B20" s="3" t="inlineStr">
        <is>
          <t>n</t>
        </is>
      </c>
      <c r="C20" s="23">
        <f>0</f>
        <v/>
      </c>
      <c r="D20" s="23">
        <f>C23</f>
        <v/>
      </c>
      <c r="E20" s="23">
        <f>D23</f>
        <v/>
      </c>
      <c r="F20" s="23">
        <f>E23</f>
        <v/>
      </c>
      <c r="G20" s="23">
        <f>F23</f>
        <v/>
      </c>
      <c r="H20" s="23">
        <f>G23</f>
        <v/>
      </c>
      <c r="I20" s="23">
        <f>H23</f>
        <v/>
      </c>
      <c r="J20" s="23">
        <f>I23</f>
        <v/>
      </c>
      <c r="K20" s="23">
        <f>J23</f>
        <v/>
      </c>
      <c r="L20" s="23">
        <f>K23</f>
        <v/>
      </c>
      <c r="M20" s="23">
        <f>L23</f>
        <v/>
      </c>
      <c r="N20" s="23">
        <f>M23</f>
        <v/>
      </c>
      <c r="O20" s="23">
        <f>N23</f>
        <v/>
      </c>
      <c r="P20" s="23">
        <f>O23</f>
        <v/>
      </c>
      <c r="Q20" s="23">
        <f>P23</f>
        <v/>
      </c>
      <c r="R20" s="23">
        <f>Q23</f>
        <v/>
      </c>
      <c r="S20" s="23">
        <f>R23</f>
        <v/>
      </c>
      <c r="T20" s="23">
        <f>S23</f>
        <v/>
      </c>
      <c r="U20" s="23">
        <f>T23</f>
        <v/>
      </c>
      <c r="V20" s="23">
        <f>U23</f>
        <v/>
      </c>
      <c r="W20" s="23">
        <f>V23</f>
        <v/>
      </c>
      <c r="X20" s="23">
        <f>W23</f>
        <v/>
      </c>
      <c r="Y20" s="23">
        <f>X23</f>
        <v/>
      </c>
      <c r="Z20" s="23">
        <f>Y23</f>
        <v/>
      </c>
      <c r="AA20" s="23">
        <f>Z23</f>
        <v/>
      </c>
      <c r="AB20" s="23">
        <f>AA23</f>
        <v/>
      </c>
      <c r="AC20" s="23">
        <f>AB23</f>
        <v/>
      </c>
    </row>
    <row r="21">
      <c r="A21" s="3" t="inlineStr">
        <is>
          <t>Novos pagantes</t>
        </is>
      </c>
      <c r="B21" s="3" t="inlineStr">
        <is>
          <t>n1</t>
        </is>
      </c>
      <c r="C21" s="26">
        <f>Calendario!C9*0*Premissas!$C$50+(Calendario!C8-Calendario!C9)*0*Premissas!$C$50</f>
        <v/>
      </c>
      <c r="D21" s="26">
        <f>Calendario!D9*C17*Premissas!$C$50+(Calendario!D8-Calendario!D9)*C15*Premissas!$C$50</f>
        <v/>
      </c>
      <c r="E21" s="26">
        <f>Calendario!E9*D17*Premissas!$C$50+(Calendario!E8-Calendario!E9)*D15*Premissas!$C$50</f>
        <v/>
      </c>
      <c r="F21" s="26">
        <f>Calendario!F9*E17*Premissas!$C$50+(Calendario!F8-Calendario!F9)*E15*Premissas!$C$50</f>
        <v/>
      </c>
      <c r="G21" s="26">
        <f>Calendario!G9*F17*Premissas!$C$50+(Calendario!G8-Calendario!G9)*F15*Premissas!$C$50</f>
        <v/>
      </c>
      <c r="H21" s="26">
        <f>Calendario!H9*G17*Premissas!$C$50+(Calendario!H8-Calendario!H9)*G15*Premissas!$C$50</f>
        <v/>
      </c>
      <c r="I21" s="26">
        <f>Calendario!I9*H17*Premissas!$C$50+(Calendario!I8-Calendario!I9)*H15*Premissas!$C$50</f>
        <v/>
      </c>
      <c r="J21" s="26">
        <f>Calendario!J9*I17*Premissas!$C$50+(Calendario!J8-Calendario!J9)*I15*Premissas!$C$50</f>
        <v/>
      </c>
      <c r="K21" s="26">
        <f>Calendario!K9*J17*Premissas!$C$50+(Calendario!K8-Calendario!K9)*J15*Premissas!$C$50</f>
        <v/>
      </c>
      <c r="L21" s="26">
        <f>Calendario!L9*K17*Premissas!$C$50+(Calendario!L8-Calendario!L9)*K15*Premissas!$C$50</f>
        <v/>
      </c>
      <c r="M21" s="26">
        <f>Calendario!M9*L17*Premissas!$C$50+(Calendario!M8-Calendario!M9)*L15*Premissas!$C$50</f>
        <v/>
      </c>
      <c r="N21" s="26">
        <f>Calendario!N9*M17*Premissas!$C$50+(Calendario!N8-Calendario!N9)*M15*Premissas!$C$50</f>
        <v/>
      </c>
      <c r="O21" s="26">
        <f>Calendario!O9*N17*Premissas!$C$50+(Calendario!O8-Calendario!O9)*N15*Premissas!$C$50</f>
        <v/>
      </c>
      <c r="P21" s="26">
        <f>Calendario!P9*O17*Premissas!$C$50+(Calendario!P8-Calendario!P9)*O15*Premissas!$C$50</f>
        <v/>
      </c>
      <c r="Q21" s="26">
        <f>Calendario!Q9*P17*Premissas!$C$50+(Calendario!Q8-Calendario!Q9)*P15*Premissas!$C$50</f>
        <v/>
      </c>
      <c r="R21" s="26">
        <f>Calendario!R9*Q17*Premissas!$C$50+(Calendario!R8-Calendario!R9)*Q15*Premissas!$C$50</f>
        <v/>
      </c>
      <c r="S21" s="26">
        <f>Calendario!S9*R17*Premissas!$C$50+(Calendario!S8-Calendario!S9)*R15*Premissas!$C$50</f>
        <v/>
      </c>
      <c r="T21" s="26">
        <f>Calendario!T9*S17*Premissas!$C$50+(Calendario!T8-Calendario!T9)*S15*Premissas!$C$50</f>
        <v/>
      </c>
      <c r="U21" s="26">
        <f>Calendario!U9*T17*Premissas!$C$50+(Calendario!U8-Calendario!U9)*T15*Premissas!$C$50</f>
        <v/>
      </c>
      <c r="V21" s="26">
        <f>Calendario!V9*U17*Premissas!$C$50+(Calendario!V8-Calendario!V9)*U15*Premissas!$C$50</f>
        <v/>
      </c>
      <c r="W21" s="26">
        <f>Calendario!W9*V17*Premissas!$C$50+(Calendario!W8-Calendario!W9)*V15*Premissas!$C$50</f>
        <v/>
      </c>
      <c r="X21" s="26">
        <f>Calendario!X9*W17*Premissas!$C$50+(Calendario!X8-Calendario!X9)*W15*Premissas!$C$50</f>
        <v/>
      </c>
      <c r="Y21" s="26">
        <f>Calendario!Y9*X17*Premissas!$C$50+(Calendario!Y8-Calendario!Y9)*X15*Premissas!$C$50</f>
        <v/>
      </c>
      <c r="Z21" s="26">
        <f>Calendario!Z9*Y17*Premissas!$C$50+(Calendario!Z8-Calendario!Z9)*Y15*Premissas!$C$50</f>
        <v/>
      </c>
      <c r="AA21" s="26">
        <f>Calendario!AA9*Z17*Premissas!$C$50+(Calendario!AA8-Calendario!AA9)*Z15*Premissas!$C$50</f>
        <v/>
      </c>
      <c r="AB21" s="26">
        <f>Calendario!AB9*AA17*Premissas!$C$50+(Calendario!AB8-Calendario!AB9)*AA15*Premissas!$C$50</f>
        <v/>
      </c>
      <c r="AC21" s="26">
        <f>Calendario!AC9*AB17*Premissas!$C$50+(Calendario!AC8-Calendario!AC9)*AB15*Premissas!$C$50</f>
        <v/>
      </c>
    </row>
    <row r="22">
      <c r="A22" s="3" t="inlineStr">
        <is>
          <t>Cancelamentos</t>
        </is>
      </c>
      <c r="B22" s="3" t="inlineStr">
        <is>
          <t>n1</t>
        </is>
      </c>
      <c r="C22" s="26">
        <f>C20*Premissas!$C$51</f>
        <v/>
      </c>
      <c r="D22" s="26">
        <f>D20*Premissas!$C$51</f>
        <v/>
      </c>
      <c r="E22" s="26">
        <f>E20*Premissas!$C$51</f>
        <v/>
      </c>
      <c r="F22" s="26">
        <f>F20*Premissas!$C$51</f>
        <v/>
      </c>
      <c r="G22" s="26">
        <f>G20*Premissas!$C$51</f>
        <v/>
      </c>
      <c r="H22" s="26">
        <f>H20*Premissas!$C$51</f>
        <v/>
      </c>
      <c r="I22" s="26">
        <f>I20*Premissas!$C$51</f>
        <v/>
      </c>
      <c r="J22" s="26">
        <f>J20*Premissas!$C$51</f>
        <v/>
      </c>
      <c r="K22" s="26">
        <f>K20*Premissas!$C$51</f>
        <v/>
      </c>
      <c r="L22" s="26">
        <f>L20*Premissas!$C$51</f>
        <v/>
      </c>
      <c r="M22" s="26">
        <f>M20*Premissas!$C$51</f>
        <v/>
      </c>
      <c r="N22" s="26">
        <f>N20*Premissas!$C$51</f>
        <v/>
      </c>
      <c r="O22" s="26">
        <f>O20*Premissas!$C$51</f>
        <v/>
      </c>
      <c r="P22" s="26">
        <f>P20*Premissas!$C$51</f>
        <v/>
      </c>
      <c r="Q22" s="26">
        <f>Q20*Premissas!$C$51</f>
        <v/>
      </c>
      <c r="R22" s="26">
        <f>R20*Premissas!$C$51</f>
        <v/>
      </c>
      <c r="S22" s="26">
        <f>S20*Premissas!$C$51</f>
        <v/>
      </c>
      <c r="T22" s="26">
        <f>T20*Premissas!$C$51</f>
        <v/>
      </c>
      <c r="U22" s="26">
        <f>U20*Premissas!$C$51</f>
        <v/>
      </c>
      <c r="V22" s="26">
        <f>V20*Premissas!$C$51</f>
        <v/>
      </c>
      <c r="W22" s="26">
        <f>W20*Premissas!$C$51</f>
        <v/>
      </c>
      <c r="X22" s="26">
        <f>X20*Premissas!$C$51</f>
        <v/>
      </c>
      <c r="Y22" s="26">
        <f>Y20*Premissas!$C$51</f>
        <v/>
      </c>
      <c r="Z22" s="26">
        <f>Z20*Premissas!$C$51</f>
        <v/>
      </c>
      <c r="AA22" s="26">
        <f>AA20*Premissas!$C$51</f>
        <v/>
      </c>
      <c r="AB22" s="26">
        <f>AB20*Premissas!$C$51</f>
        <v/>
      </c>
      <c r="AC22" s="26">
        <f>AC20*Premissas!$C$51</f>
        <v/>
      </c>
    </row>
    <row r="23">
      <c r="A23" s="27" t="inlineStr">
        <is>
          <t>Pagantes no fim</t>
        </is>
      </c>
      <c r="B23" s="3" t="inlineStr">
        <is>
          <t>n1</t>
        </is>
      </c>
      <c r="C23" s="28">
        <f>C20+C21-C22</f>
        <v/>
      </c>
      <c r="D23" s="28">
        <f>D20+D21-D22</f>
        <v/>
      </c>
      <c r="E23" s="28">
        <f>E20+E21-E22</f>
        <v/>
      </c>
      <c r="F23" s="28">
        <f>F20+F21-F22</f>
        <v/>
      </c>
      <c r="G23" s="28">
        <f>G20+G21-G22</f>
        <v/>
      </c>
      <c r="H23" s="28">
        <f>H20+H21-H22</f>
        <v/>
      </c>
      <c r="I23" s="28">
        <f>I20+I21-I22</f>
        <v/>
      </c>
      <c r="J23" s="28">
        <f>J20+J21-J22</f>
        <v/>
      </c>
      <c r="K23" s="28">
        <f>K20+K21-K22</f>
        <v/>
      </c>
      <c r="L23" s="28">
        <f>L20+L21-L22</f>
        <v/>
      </c>
      <c r="M23" s="28">
        <f>M20+M21-M22</f>
        <v/>
      </c>
      <c r="N23" s="28">
        <f>N20+N21-N22</f>
        <v/>
      </c>
      <c r="O23" s="28">
        <f>O20+O21-O22</f>
        <v/>
      </c>
      <c r="P23" s="28">
        <f>P20+P21-P22</f>
        <v/>
      </c>
      <c r="Q23" s="28">
        <f>Q20+Q21-Q22</f>
        <v/>
      </c>
      <c r="R23" s="28">
        <f>R20+R21-R22</f>
        <v/>
      </c>
      <c r="S23" s="28">
        <f>S20+S21-S22</f>
        <v/>
      </c>
      <c r="T23" s="28">
        <f>T20+T21-T22</f>
        <v/>
      </c>
      <c r="U23" s="28">
        <f>U20+U21-U22</f>
        <v/>
      </c>
      <c r="V23" s="28">
        <f>V20+V21-V22</f>
        <v/>
      </c>
      <c r="W23" s="28">
        <f>W20+W21-W22</f>
        <v/>
      </c>
      <c r="X23" s="28">
        <f>X20+X21-X22</f>
        <v/>
      </c>
      <c r="Y23" s="28">
        <f>Y20+Y21-Y22</f>
        <v/>
      </c>
      <c r="Z23" s="28">
        <f>Z20+Z21-Z22</f>
        <v/>
      </c>
      <c r="AA23" s="28">
        <f>AA20+AA21-AA22</f>
        <v/>
      </c>
      <c r="AB23" s="28">
        <f>AB20+AB21-AB22</f>
        <v/>
      </c>
      <c r="AC23" s="28">
        <f>AC20+AC21-AC22</f>
        <v/>
      </c>
    </row>
    <row r="24">
      <c r="A24" s="3" t="inlineStr">
        <is>
          <t>Pagantes médios</t>
        </is>
      </c>
      <c r="B24" s="3" t="inlineStr">
        <is>
          <t>n1</t>
        </is>
      </c>
      <c r="C24" s="26">
        <f>(C20+C23)/2</f>
        <v/>
      </c>
      <c r="D24" s="26">
        <f>(D20+D23)/2</f>
        <v/>
      </c>
      <c r="E24" s="26">
        <f>(E20+E23)/2</f>
        <v/>
      </c>
      <c r="F24" s="26">
        <f>(F20+F23)/2</f>
        <v/>
      </c>
      <c r="G24" s="26">
        <f>(G20+G23)/2</f>
        <v/>
      </c>
      <c r="H24" s="26">
        <f>(H20+H23)/2</f>
        <v/>
      </c>
      <c r="I24" s="26">
        <f>(I20+I23)/2</f>
        <v/>
      </c>
      <c r="J24" s="26">
        <f>(J20+J23)/2</f>
        <v/>
      </c>
      <c r="K24" s="26">
        <f>(K20+K23)/2</f>
        <v/>
      </c>
      <c r="L24" s="26">
        <f>(L20+L23)/2</f>
        <v/>
      </c>
      <c r="M24" s="26">
        <f>(M20+M23)/2</f>
        <v/>
      </c>
      <c r="N24" s="26">
        <f>(N20+N23)/2</f>
        <v/>
      </c>
      <c r="O24" s="26">
        <f>(O20+O23)/2</f>
        <v/>
      </c>
      <c r="P24" s="26">
        <f>(P20+P23)/2</f>
        <v/>
      </c>
      <c r="Q24" s="26">
        <f>(Q20+Q23)/2</f>
        <v/>
      </c>
      <c r="R24" s="26">
        <f>(R20+R23)/2</f>
        <v/>
      </c>
      <c r="S24" s="26">
        <f>(S20+S23)/2</f>
        <v/>
      </c>
      <c r="T24" s="26">
        <f>(T20+T23)/2</f>
        <v/>
      </c>
      <c r="U24" s="26">
        <f>(U20+U23)/2</f>
        <v/>
      </c>
      <c r="V24" s="26">
        <f>(V20+V23)/2</f>
        <v/>
      </c>
      <c r="W24" s="26">
        <f>(W20+W23)/2</f>
        <v/>
      </c>
      <c r="X24" s="26">
        <f>(X20+X23)/2</f>
        <v/>
      </c>
      <c r="Y24" s="26">
        <f>(Y20+Y23)/2</f>
        <v/>
      </c>
      <c r="Z24" s="26">
        <f>(Z20+Z23)/2</f>
        <v/>
      </c>
      <c r="AA24" s="26">
        <f>(AA20+AA23)/2</f>
        <v/>
      </c>
      <c r="AB24" s="26">
        <f>(AB20+AB23)/2</f>
        <v/>
      </c>
      <c r="AC24" s="26">
        <f>(AC20+AC23)/2</f>
        <v/>
      </c>
    </row>
    <row r="25">
      <c r="A25" s="3" t="inlineStr">
        <is>
          <t>no Solo</t>
        </is>
      </c>
      <c r="B25" s="3" t="inlineStr">
        <is>
          <t>n1</t>
        </is>
      </c>
      <c r="C25" s="26">
        <f>C24*Premissas!$C$52</f>
        <v/>
      </c>
      <c r="D25" s="26">
        <f>D24*Premissas!$C$52</f>
        <v/>
      </c>
      <c r="E25" s="26">
        <f>E24*Premissas!$C$52</f>
        <v/>
      </c>
      <c r="F25" s="26">
        <f>F24*Premissas!$C$52</f>
        <v/>
      </c>
      <c r="G25" s="26">
        <f>G24*Premissas!$C$52</f>
        <v/>
      </c>
      <c r="H25" s="26">
        <f>H24*Premissas!$C$52</f>
        <v/>
      </c>
      <c r="I25" s="26">
        <f>I24*Premissas!$C$52</f>
        <v/>
      </c>
      <c r="J25" s="26">
        <f>J24*Premissas!$C$52</f>
        <v/>
      </c>
      <c r="K25" s="26">
        <f>K24*Premissas!$C$52</f>
        <v/>
      </c>
      <c r="L25" s="26">
        <f>L24*Premissas!$C$52</f>
        <v/>
      </c>
      <c r="M25" s="26">
        <f>M24*Premissas!$C$52</f>
        <v/>
      </c>
      <c r="N25" s="26">
        <f>N24*Premissas!$C$52</f>
        <v/>
      </c>
      <c r="O25" s="26">
        <f>O24*Premissas!$C$52</f>
        <v/>
      </c>
      <c r="P25" s="26">
        <f>P24*Premissas!$C$52</f>
        <v/>
      </c>
      <c r="Q25" s="26">
        <f>Q24*Premissas!$C$52</f>
        <v/>
      </c>
      <c r="R25" s="26">
        <f>R24*Premissas!$C$52</f>
        <v/>
      </c>
      <c r="S25" s="26">
        <f>S24*Premissas!$C$52</f>
        <v/>
      </c>
      <c r="T25" s="26">
        <f>T24*Premissas!$C$52</f>
        <v/>
      </c>
      <c r="U25" s="26">
        <f>U24*Premissas!$C$52</f>
        <v/>
      </c>
      <c r="V25" s="26">
        <f>V24*Premissas!$C$52</f>
        <v/>
      </c>
      <c r="W25" s="26">
        <f>W24*Premissas!$C$52</f>
        <v/>
      </c>
      <c r="X25" s="26">
        <f>X24*Premissas!$C$52</f>
        <v/>
      </c>
      <c r="Y25" s="26">
        <f>Y24*Premissas!$C$52</f>
        <v/>
      </c>
      <c r="Z25" s="26">
        <f>Z24*Premissas!$C$52</f>
        <v/>
      </c>
      <c r="AA25" s="26">
        <f>AA24*Premissas!$C$52</f>
        <v/>
      </c>
      <c r="AB25" s="26">
        <f>AB24*Premissas!$C$52</f>
        <v/>
      </c>
      <c r="AC25" s="26">
        <f>AC24*Premissas!$C$52</f>
        <v/>
      </c>
    </row>
    <row r="26">
      <c r="A26" s="3" t="inlineStr">
        <is>
          <t>no Equipe</t>
        </is>
      </c>
      <c r="B26" s="3" t="inlineStr">
        <is>
          <t>n1</t>
        </is>
      </c>
      <c r="C26" s="26">
        <f>C24-C25</f>
        <v/>
      </c>
      <c r="D26" s="26">
        <f>D24-D25</f>
        <v/>
      </c>
      <c r="E26" s="26">
        <f>E24-E25</f>
        <v/>
      </c>
      <c r="F26" s="26">
        <f>F24-F25</f>
        <v/>
      </c>
      <c r="G26" s="26">
        <f>G24-G25</f>
        <v/>
      </c>
      <c r="H26" s="26">
        <f>H24-H25</f>
        <v/>
      </c>
      <c r="I26" s="26">
        <f>I24-I25</f>
        <v/>
      </c>
      <c r="J26" s="26">
        <f>J24-J25</f>
        <v/>
      </c>
      <c r="K26" s="26">
        <f>K24-K25</f>
        <v/>
      </c>
      <c r="L26" s="26">
        <f>L24-L25</f>
        <v/>
      </c>
      <c r="M26" s="26">
        <f>M24-M25</f>
        <v/>
      </c>
      <c r="N26" s="26">
        <f>N24-N25</f>
        <v/>
      </c>
      <c r="O26" s="26">
        <f>O24-O25</f>
        <v/>
      </c>
      <c r="P26" s="26">
        <f>P24-P25</f>
        <v/>
      </c>
      <c r="Q26" s="26">
        <f>Q24-Q25</f>
        <v/>
      </c>
      <c r="R26" s="26">
        <f>R24-R25</f>
        <v/>
      </c>
      <c r="S26" s="26">
        <f>S24-S25</f>
        <v/>
      </c>
      <c r="T26" s="26">
        <f>T24-T25</f>
        <v/>
      </c>
      <c r="U26" s="26">
        <f>U24-U25</f>
        <v/>
      </c>
      <c r="V26" s="26">
        <f>V24-V25</f>
        <v/>
      </c>
      <c r="W26" s="26">
        <f>W24-W25</f>
        <v/>
      </c>
      <c r="X26" s="26">
        <f>X24-X25</f>
        <v/>
      </c>
      <c r="Y26" s="26">
        <f>Y24-Y25</f>
        <v/>
      </c>
      <c r="Z26" s="26">
        <f>Z24-Z25</f>
        <v/>
      </c>
      <c r="AA26" s="26">
        <f>AA24-AA25</f>
        <v/>
      </c>
      <c r="AB26" s="26">
        <f>AB24-AB25</f>
        <v/>
      </c>
      <c r="AC26" s="26">
        <f>AC24-AC25</f>
        <v/>
      </c>
    </row>
    <row r="27">
      <c r="A27" s="24" t="inlineStr">
        <is>
          <t>Receita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>
      <c r="A28" s="3" t="inlineStr">
        <is>
          <t>Receita bruta</t>
        </is>
      </c>
      <c r="B28" s="3" t="inlineStr">
        <is>
          <t>brl</t>
        </is>
      </c>
      <c r="C28" s="29">
        <f>C25*Premissas!$C$6+C26*Premissas!$C$7</f>
        <v/>
      </c>
      <c r="D28" s="29">
        <f>D25*Premissas!$C$6+D26*Premissas!$C$7</f>
        <v/>
      </c>
      <c r="E28" s="29">
        <f>E25*Premissas!$C$6+E26*Premissas!$C$7</f>
        <v/>
      </c>
      <c r="F28" s="29">
        <f>F25*Premissas!$C$6+F26*Premissas!$C$7</f>
        <v/>
      </c>
      <c r="G28" s="29">
        <f>G25*Premissas!$C$6+G26*Premissas!$C$7</f>
        <v/>
      </c>
      <c r="H28" s="29">
        <f>H25*Premissas!$C$6+H26*Premissas!$C$7</f>
        <v/>
      </c>
      <c r="I28" s="29">
        <f>I25*Premissas!$C$6+I26*Premissas!$C$7</f>
        <v/>
      </c>
      <c r="J28" s="29">
        <f>J25*Premissas!$C$6+J26*Premissas!$C$7</f>
        <v/>
      </c>
      <c r="K28" s="29">
        <f>K25*Premissas!$C$6+K26*Premissas!$C$7</f>
        <v/>
      </c>
      <c r="L28" s="29">
        <f>L25*Premissas!$C$6+L26*Premissas!$C$7</f>
        <v/>
      </c>
      <c r="M28" s="29">
        <f>M25*Premissas!$C$6+M26*Premissas!$C$7</f>
        <v/>
      </c>
      <c r="N28" s="29">
        <f>N25*Premissas!$C$6+N26*Premissas!$C$7</f>
        <v/>
      </c>
      <c r="O28" s="29">
        <f>O25*Premissas!$C$6+O26*Premissas!$C$7</f>
        <v/>
      </c>
      <c r="P28" s="29">
        <f>P25*Premissas!$C$6+P26*Premissas!$C$7</f>
        <v/>
      </c>
      <c r="Q28" s="29">
        <f>Q25*Premissas!$C$6+Q26*Premissas!$C$7</f>
        <v/>
      </c>
      <c r="R28" s="29">
        <f>R25*Premissas!$C$6+R26*Premissas!$C$7</f>
        <v/>
      </c>
      <c r="S28" s="29">
        <f>S25*Premissas!$C$6+S26*Premissas!$C$7</f>
        <v/>
      </c>
      <c r="T28" s="29">
        <f>T25*Premissas!$C$6+T26*Premissas!$C$7</f>
        <v/>
      </c>
      <c r="U28" s="29">
        <f>U25*Premissas!$C$6+U26*Premissas!$C$7</f>
        <v/>
      </c>
      <c r="V28" s="29">
        <f>V25*Premissas!$C$6+V26*Premissas!$C$7</f>
        <v/>
      </c>
      <c r="W28" s="29">
        <f>W25*Premissas!$C$6+W26*Premissas!$C$7</f>
        <v/>
      </c>
      <c r="X28" s="29">
        <f>X25*Premissas!$C$6+X26*Premissas!$C$7</f>
        <v/>
      </c>
      <c r="Y28" s="29">
        <f>Y25*Premissas!$C$6+Y26*Premissas!$C$7</f>
        <v/>
      </c>
      <c r="Z28" s="29">
        <f>Z25*Premissas!$C$6+Z26*Premissas!$C$7</f>
        <v/>
      </c>
      <c r="AA28" s="29">
        <f>AA25*Premissas!$C$6+AA26*Premissas!$C$7</f>
        <v/>
      </c>
      <c r="AB28" s="29">
        <f>AB25*Premissas!$C$6+AB26*Premissas!$C$7</f>
        <v/>
      </c>
      <c r="AC28" s="29">
        <f>AC25*Premissas!$C$6+AC26*Premissas!$C$7</f>
        <v/>
      </c>
    </row>
    <row r="29">
      <c r="A29" s="3" t="inlineStr">
        <is>
          <t>Taxa de pagamento</t>
        </is>
      </c>
      <c r="B29" s="3" t="inlineStr">
        <is>
          <t>brl</t>
        </is>
      </c>
      <c r="C29" s="29">
        <f>C28*(Premissas!$C$8*Premissas!$C$9+(1-Premissas!$C$8)*Premissas!$C$10)</f>
        <v/>
      </c>
      <c r="D29" s="29">
        <f>D28*(Premissas!$C$8*Premissas!$C$9+(1-Premissas!$C$8)*Premissas!$C$10)</f>
        <v/>
      </c>
      <c r="E29" s="29">
        <f>E28*(Premissas!$C$8*Premissas!$C$9+(1-Premissas!$C$8)*Premissas!$C$10)</f>
        <v/>
      </c>
      <c r="F29" s="29">
        <f>F28*(Premissas!$C$8*Premissas!$C$9+(1-Premissas!$C$8)*Premissas!$C$10)</f>
        <v/>
      </c>
      <c r="G29" s="29">
        <f>G28*(Premissas!$C$8*Premissas!$C$9+(1-Premissas!$C$8)*Premissas!$C$10)</f>
        <v/>
      </c>
      <c r="H29" s="29">
        <f>H28*(Premissas!$C$8*Premissas!$C$9+(1-Premissas!$C$8)*Premissas!$C$10)</f>
        <v/>
      </c>
      <c r="I29" s="29">
        <f>I28*(Premissas!$C$8*Premissas!$C$9+(1-Premissas!$C$8)*Premissas!$C$10)</f>
        <v/>
      </c>
      <c r="J29" s="29">
        <f>J28*(Premissas!$C$8*Premissas!$C$9+(1-Premissas!$C$8)*Premissas!$C$10)</f>
        <v/>
      </c>
      <c r="K29" s="29">
        <f>K28*(Premissas!$C$8*Premissas!$C$9+(1-Premissas!$C$8)*Premissas!$C$10)</f>
        <v/>
      </c>
      <c r="L29" s="29">
        <f>L28*(Premissas!$C$8*Premissas!$C$9+(1-Premissas!$C$8)*Premissas!$C$10)</f>
        <v/>
      </c>
      <c r="M29" s="29">
        <f>M28*(Premissas!$C$8*Premissas!$C$9+(1-Premissas!$C$8)*Premissas!$C$10)</f>
        <v/>
      </c>
      <c r="N29" s="29">
        <f>N28*(Premissas!$C$8*Premissas!$C$9+(1-Premissas!$C$8)*Premissas!$C$10)</f>
        <v/>
      </c>
      <c r="O29" s="29">
        <f>O28*(Premissas!$C$8*Premissas!$C$9+(1-Premissas!$C$8)*Premissas!$C$10)</f>
        <v/>
      </c>
      <c r="P29" s="29">
        <f>P28*(Premissas!$C$8*Premissas!$C$9+(1-Premissas!$C$8)*Premissas!$C$10)</f>
        <v/>
      </c>
      <c r="Q29" s="29">
        <f>Q28*(Premissas!$C$8*Premissas!$C$9+(1-Premissas!$C$8)*Premissas!$C$10)</f>
        <v/>
      </c>
      <c r="R29" s="29">
        <f>R28*(Premissas!$C$8*Premissas!$C$9+(1-Premissas!$C$8)*Premissas!$C$10)</f>
        <v/>
      </c>
      <c r="S29" s="29">
        <f>S28*(Premissas!$C$8*Premissas!$C$9+(1-Premissas!$C$8)*Premissas!$C$10)</f>
        <v/>
      </c>
      <c r="T29" s="29">
        <f>T28*(Premissas!$C$8*Premissas!$C$9+(1-Premissas!$C$8)*Premissas!$C$10)</f>
        <v/>
      </c>
      <c r="U29" s="29">
        <f>U28*(Premissas!$C$8*Premissas!$C$9+(1-Premissas!$C$8)*Premissas!$C$10)</f>
        <v/>
      </c>
      <c r="V29" s="29">
        <f>V28*(Premissas!$C$8*Premissas!$C$9+(1-Premissas!$C$8)*Premissas!$C$10)</f>
        <v/>
      </c>
      <c r="W29" s="29">
        <f>W28*(Premissas!$C$8*Premissas!$C$9+(1-Premissas!$C$8)*Premissas!$C$10)</f>
        <v/>
      </c>
      <c r="X29" s="29">
        <f>X28*(Premissas!$C$8*Premissas!$C$9+(1-Premissas!$C$8)*Premissas!$C$10)</f>
        <v/>
      </c>
      <c r="Y29" s="29">
        <f>Y28*(Premissas!$C$8*Premissas!$C$9+(1-Premissas!$C$8)*Premissas!$C$10)</f>
        <v/>
      </c>
      <c r="Z29" s="29">
        <f>Z28*(Premissas!$C$8*Premissas!$C$9+(1-Premissas!$C$8)*Premissas!$C$10)</f>
        <v/>
      </c>
      <c r="AA29" s="29">
        <f>AA28*(Premissas!$C$8*Premissas!$C$9+(1-Premissas!$C$8)*Premissas!$C$10)</f>
        <v/>
      </c>
      <c r="AB29" s="29">
        <f>AB28*(Premissas!$C$8*Premissas!$C$9+(1-Premissas!$C$8)*Premissas!$C$10)</f>
        <v/>
      </c>
      <c r="AC29" s="29">
        <f>AC28*(Premissas!$C$8*Premissas!$C$9+(1-Premissas!$C$8)*Premissas!$C$10)</f>
        <v/>
      </c>
    </row>
    <row r="30">
      <c r="A30" s="3" t="inlineStr">
        <is>
          <t>Simples Nacional</t>
        </is>
      </c>
      <c r="B30" s="3" t="inlineStr">
        <is>
          <t>brl</t>
        </is>
      </c>
      <c r="C30" s="29">
        <f>C28*Premissas!$C$11</f>
        <v/>
      </c>
      <c r="D30" s="29">
        <f>D28*Premissas!$C$11</f>
        <v/>
      </c>
      <c r="E30" s="29">
        <f>E28*Premissas!$C$11</f>
        <v/>
      </c>
      <c r="F30" s="29">
        <f>F28*Premissas!$C$11</f>
        <v/>
      </c>
      <c r="G30" s="29">
        <f>G28*Premissas!$C$11</f>
        <v/>
      </c>
      <c r="H30" s="29">
        <f>H28*Premissas!$C$11</f>
        <v/>
      </c>
      <c r="I30" s="29">
        <f>I28*Premissas!$C$11</f>
        <v/>
      </c>
      <c r="J30" s="29">
        <f>J28*Premissas!$C$11</f>
        <v/>
      </c>
      <c r="K30" s="29">
        <f>K28*Premissas!$C$11</f>
        <v/>
      </c>
      <c r="L30" s="29">
        <f>L28*Premissas!$C$11</f>
        <v/>
      </c>
      <c r="M30" s="29">
        <f>M28*Premissas!$C$11</f>
        <v/>
      </c>
      <c r="N30" s="29">
        <f>N28*Premissas!$C$11</f>
        <v/>
      </c>
      <c r="O30" s="29">
        <f>O28*Premissas!$C$11</f>
        <v/>
      </c>
      <c r="P30" s="29">
        <f>P28*Premissas!$C$11</f>
        <v/>
      </c>
      <c r="Q30" s="29">
        <f>Q28*Premissas!$C$11</f>
        <v/>
      </c>
      <c r="R30" s="29">
        <f>R28*Premissas!$C$11</f>
        <v/>
      </c>
      <c r="S30" s="29">
        <f>S28*Premissas!$C$11</f>
        <v/>
      </c>
      <c r="T30" s="29">
        <f>T28*Premissas!$C$11</f>
        <v/>
      </c>
      <c r="U30" s="29">
        <f>U28*Premissas!$C$11</f>
        <v/>
      </c>
      <c r="V30" s="29">
        <f>V28*Premissas!$C$11</f>
        <v/>
      </c>
      <c r="W30" s="29">
        <f>W28*Premissas!$C$11</f>
        <v/>
      </c>
      <c r="X30" s="29">
        <f>X28*Premissas!$C$11</f>
        <v/>
      </c>
      <c r="Y30" s="29">
        <f>Y28*Premissas!$C$11</f>
        <v/>
      </c>
      <c r="Z30" s="29">
        <f>Z28*Premissas!$C$11</f>
        <v/>
      </c>
      <c r="AA30" s="29">
        <f>AA28*Premissas!$C$11</f>
        <v/>
      </c>
      <c r="AB30" s="29">
        <f>AB28*Premissas!$C$11</f>
        <v/>
      </c>
      <c r="AC30" s="29">
        <f>AC28*Premissas!$C$11</f>
        <v/>
      </c>
    </row>
    <row r="31">
      <c r="A31" s="27" t="inlineStr">
        <is>
          <t>Receita líquida</t>
        </is>
      </c>
      <c r="B31" s="3" t="inlineStr">
        <is>
          <t>brl</t>
        </is>
      </c>
      <c r="C31" s="30">
        <f>C28-C29-C30</f>
        <v/>
      </c>
      <c r="D31" s="30">
        <f>D28-D29-D30</f>
        <v/>
      </c>
      <c r="E31" s="30">
        <f>E28-E29-E30</f>
        <v/>
      </c>
      <c r="F31" s="30">
        <f>F28-F29-F30</f>
        <v/>
      </c>
      <c r="G31" s="30">
        <f>G28-G29-G30</f>
        <v/>
      </c>
      <c r="H31" s="30">
        <f>H28-H29-H30</f>
        <v/>
      </c>
      <c r="I31" s="30">
        <f>I28-I29-I30</f>
        <v/>
      </c>
      <c r="J31" s="30">
        <f>J28-J29-J30</f>
        <v/>
      </c>
      <c r="K31" s="30">
        <f>K28-K29-K30</f>
        <v/>
      </c>
      <c r="L31" s="30">
        <f>L28-L29-L30</f>
        <v/>
      </c>
      <c r="M31" s="30">
        <f>M28-M29-M30</f>
        <v/>
      </c>
      <c r="N31" s="30">
        <f>N28-N29-N30</f>
        <v/>
      </c>
      <c r="O31" s="30">
        <f>O28-O29-O30</f>
        <v/>
      </c>
      <c r="P31" s="30">
        <f>P28-P29-P30</f>
        <v/>
      </c>
      <c r="Q31" s="30">
        <f>Q28-Q29-Q30</f>
        <v/>
      </c>
      <c r="R31" s="30">
        <f>R28-R29-R30</f>
        <v/>
      </c>
      <c r="S31" s="30">
        <f>S28-S29-S30</f>
        <v/>
      </c>
      <c r="T31" s="30">
        <f>T28-T29-T30</f>
        <v/>
      </c>
      <c r="U31" s="30">
        <f>U28-U29-U30</f>
        <v/>
      </c>
      <c r="V31" s="30">
        <f>V28-V29-V30</f>
        <v/>
      </c>
      <c r="W31" s="30">
        <f>W28-W29-W30</f>
        <v/>
      </c>
      <c r="X31" s="30">
        <f>X28-X29-X30</f>
        <v/>
      </c>
      <c r="Y31" s="30">
        <f>Y28-Y29-Y30</f>
        <v/>
      </c>
      <c r="Z31" s="30">
        <f>Z28-Z29-Z30</f>
        <v/>
      </c>
      <c r="AA31" s="30">
        <f>AA28-AA29-AA30</f>
        <v/>
      </c>
      <c r="AB31" s="30">
        <f>AB28-AB29-AB30</f>
        <v/>
      </c>
      <c r="AC31" s="30">
        <f>AC28-AC29-AC30</f>
        <v/>
      </c>
    </row>
    <row r="32">
      <c r="A32" s="24" t="inlineStr">
        <is>
          <t>Custos em dinheiro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>
      <c r="A33" s="3" t="inlineStr">
        <is>
          <t>Supabase</t>
        </is>
      </c>
      <c r="B33" s="3" t="inlineStr">
        <is>
          <t>brl</t>
        </is>
      </c>
      <c r="C33" s="29">
        <f>(Premissas!$C$12+IF(C17&gt;Premissas!$C$29,Premissas!$C$30,IF(C17&gt;Premissas!$C$27,Premissas!$C$28,IF(C17&gt;Premissas!$C$25,Premissas!$C$26,0))))*Premissas!$C$5</f>
        <v/>
      </c>
      <c r="D33" s="29">
        <f>(Premissas!$C$12+IF(D17&gt;Premissas!$C$29,Premissas!$C$30,IF(D17&gt;Premissas!$C$27,Premissas!$C$28,IF(D17&gt;Premissas!$C$25,Premissas!$C$26,0))))*Premissas!$C$5</f>
        <v/>
      </c>
      <c r="E33" s="29">
        <f>(Premissas!$C$12+IF(E17&gt;Premissas!$C$29,Premissas!$C$30,IF(E17&gt;Premissas!$C$27,Premissas!$C$28,IF(E17&gt;Premissas!$C$25,Premissas!$C$26,0))))*Premissas!$C$5</f>
        <v/>
      </c>
      <c r="F33" s="29">
        <f>(Premissas!$C$12+IF(F17&gt;Premissas!$C$29,Premissas!$C$30,IF(F17&gt;Premissas!$C$27,Premissas!$C$28,IF(F17&gt;Premissas!$C$25,Premissas!$C$26,0))))*Premissas!$C$5</f>
        <v/>
      </c>
      <c r="G33" s="29">
        <f>(Premissas!$C$12+IF(G17&gt;Premissas!$C$29,Premissas!$C$30,IF(G17&gt;Premissas!$C$27,Premissas!$C$28,IF(G17&gt;Premissas!$C$25,Premissas!$C$26,0))))*Premissas!$C$5</f>
        <v/>
      </c>
      <c r="H33" s="29">
        <f>(Premissas!$C$12+IF(H17&gt;Premissas!$C$29,Premissas!$C$30,IF(H17&gt;Premissas!$C$27,Premissas!$C$28,IF(H17&gt;Premissas!$C$25,Premissas!$C$26,0))))*Premissas!$C$5</f>
        <v/>
      </c>
      <c r="I33" s="29">
        <f>(Premissas!$C$12+IF(I17&gt;Premissas!$C$29,Premissas!$C$30,IF(I17&gt;Premissas!$C$27,Premissas!$C$28,IF(I17&gt;Premissas!$C$25,Premissas!$C$26,0))))*Premissas!$C$5</f>
        <v/>
      </c>
      <c r="J33" s="29">
        <f>(Premissas!$C$12+IF(J17&gt;Premissas!$C$29,Premissas!$C$30,IF(J17&gt;Premissas!$C$27,Premissas!$C$28,IF(J17&gt;Premissas!$C$25,Premissas!$C$26,0))))*Premissas!$C$5</f>
        <v/>
      </c>
      <c r="K33" s="29">
        <f>(Premissas!$C$12+IF(K17&gt;Premissas!$C$29,Premissas!$C$30,IF(K17&gt;Premissas!$C$27,Premissas!$C$28,IF(K17&gt;Premissas!$C$25,Premissas!$C$26,0))))*Premissas!$C$5</f>
        <v/>
      </c>
      <c r="L33" s="29">
        <f>(Premissas!$C$12+IF(L17&gt;Premissas!$C$29,Premissas!$C$30,IF(L17&gt;Premissas!$C$27,Premissas!$C$28,IF(L17&gt;Premissas!$C$25,Premissas!$C$26,0))))*Premissas!$C$5</f>
        <v/>
      </c>
      <c r="M33" s="29">
        <f>(Premissas!$C$12+IF(M17&gt;Premissas!$C$29,Premissas!$C$30,IF(M17&gt;Premissas!$C$27,Premissas!$C$28,IF(M17&gt;Premissas!$C$25,Premissas!$C$26,0))))*Premissas!$C$5</f>
        <v/>
      </c>
      <c r="N33" s="29">
        <f>(Premissas!$C$12+IF(N17&gt;Premissas!$C$29,Premissas!$C$30,IF(N17&gt;Premissas!$C$27,Premissas!$C$28,IF(N17&gt;Premissas!$C$25,Premissas!$C$26,0))))*Premissas!$C$5</f>
        <v/>
      </c>
      <c r="O33" s="29">
        <f>(Premissas!$C$12+IF(O17&gt;Premissas!$C$29,Premissas!$C$30,IF(O17&gt;Premissas!$C$27,Premissas!$C$28,IF(O17&gt;Premissas!$C$25,Premissas!$C$26,0))))*Premissas!$C$5</f>
        <v/>
      </c>
      <c r="P33" s="29">
        <f>(Premissas!$C$12+IF(P17&gt;Premissas!$C$29,Premissas!$C$30,IF(P17&gt;Premissas!$C$27,Premissas!$C$28,IF(P17&gt;Premissas!$C$25,Premissas!$C$26,0))))*Premissas!$C$5</f>
        <v/>
      </c>
      <c r="Q33" s="29">
        <f>(Premissas!$C$12+IF(Q17&gt;Premissas!$C$29,Premissas!$C$30,IF(Q17&gt;Premissas!$C$27,Premissas!$C$28,IF(Q17&gt;Premissas!$C$25,Premissas!$C$26,0))))*Premissas!$C$5</f>
        <v/>
      </c>
      <c r="R33" s="29">
        <f>(Premissas!$C$12+IF(R17&gt;Premissas!$C$29,Premissas!$C$30,IF(R17&gt;Premissas!$C$27,Premissas!$C$28,IF(R17&gt;Premissas!$C$25,Premissas!$C$26,0))))*Premissas!$C$5</f>
        <v/>
      </c>
      <c r="S33" s="29">
        <f>(Premissas!$C$12+IF(S17&gt;Premissas!$C$29,Premissas!$C$30,IF(S17&gt;Premissas!$C$27,Premissas!$C$28,IF(S17&gt;Premissas!$C$25,Premissas!$C$26,0))))*Premissas!$C$5</f>
        <v/>
      </c>
      <c r="T33" s="29">
        <f>(Premissas!$C$12+IF(T17&gt;Premissas!$C$29,Premissas!$C$30,IF(T17&gt;Premissas!$C$27,Premissas!$C$28,IF(T17&gt;Premissas!$C$25,Premissas!$C$26,0))))*Premissas!$C$5</f>
        <v/>
      </c>
      <c r="U33" s="29">
        <f>(Premissas!$C$12+IF(U17&gt;Premissas!$C$29,Premissas!$C$30,IF(U17&gt;Premissas!$C$27,Premissas!$C$28,IF(U17&gt;Premissas!$C$25,Premissas!$C$26,0))))*Premissas!$C$5</f>
        <v/>
      </c>
      <c r="V33" s="29">
        <f>(Premissas!$C$12+IF(V17&gt;Premissas!$C$29,Premissas!$C$30,IF(V17&gt;Premissas!$C$27,Premissas!$C$28,IF(V17&gt;Premissas!$C$25,Premissas!$C$26,0))))*Premissas!$C$5</f>
        <v/>
      </c>
      <c r="W33" s="29">
        <f>(Premissas!$C$12+IF(W17&gt;Premissas!$C$29,Premissas!$C$30,IF(W17&gt;Premissas!$C$27,Premissas!$C$28,IF(W17&gt;Premissas!$C$25,Premissas!$C$26,0))))*Premissas!$C$5</f>
        <v/>
      </c>
      <c r="X33" s="29">
        <f>(Premissas!$C$12+IF(X17&gt;Premissas!$C$29,Premissas!$C$30,IF(X17&gt;Premissas!$C$27,Premissas!$C$28,IF(X17&gt;Premissas!$C$25,Premissas!$C$26,0))))*Premissas!$C$5</f>
        <v/>
      </c>
      <c r="Y33" s="29">
        <f>(Premissas!$C$12+IF(Y17&gt;Premissas!$C$29,Premissas!$C$30,IF(Y17&gt;Premissas!$C$27,Premissas!$C$28,IF(Y17&gt;Premissas!$C$25,Premissas!$C$26,0))))*Premissas!$C$5</f>
        <v/>
      </c>
      <c r="Z33" s="29">
        <f>(Premissas!$C$12+IF(Z17&gt;Premissas!$C$29,Premissas!$C$30,IF(Z17&gt;Premissas!$C$27,Premissas!$C$28,IF(Z17&gt;Premissas!$C$25,Premissas!$C$26,0))))*Premissas!$C$5</f>
        <v/>
      </c>
      <c r="AA33" s="29">
        <f>(Premissas!$C$12+IF(AA17&gt;Premissas!$C$29,Premissas!$C$30,IF(AA17&gt;Premissas!$C$27,Premissas!$C$28,IF(AA17&gt;Premissas!$C$25,Premissas!$C$26,0))))*Premissas!$C$5</f>
        <v/>
      </c>
      <c r="AB33" s="29">
        <f>(Premissas!$C$12+IF(AB17&gt;Premissas!$C$29,Premissas!$C$30,IF(AB17&gt;Premissas!$C$27,Premissas!$C$28,IF(AB17&gt;Premissas!$C$25,Premissas!$C$26,0))))*Premissas!$C$5</f>
        <v/>
      </c>
      <c r="AC33" s="29">
        <f>(Premissas!$C$12+IF(AC17&gt;Premissas!$C$29,Premissas!$C$30,IF(AC17&gt;Premissas!$C$27,Premissas!$C$28,IF(AC17&gt;Premissas!$C$25,Premissas!$C$26,0))))*Premissas!$C$5</f>
        <v/>
      </c>
    </row>
    <row r="34">
      <c r="A34" s="3" t="inlineStr">
        <is>
          <t>Vercel</t>
        </is>
      </c>
      <c r="B34" s="3" t="inlineStr">
        <is>
          <t>brl</t>
        </is>
      </c>
      <c r="C34" s="29">
        <f>(Premissas!$C$13+MAX(0,C17*Premissas!$C$15-Premissas!$C$14))*Premissas!$C$5</f>
        <v/>
      </c>
      <c r="D34" s="29">
        <f>(Premissas!$C$13+MAX(0,D17*Premissas!$C$15-Premissas!$C$14))*Premissas!$C$5</f>
        <v/>
      </c>
      <c r="E34" s="29">
        <f>(Premissas!$C$13+MAX(0,E17*Premissas!$C$15-Premissas!$C$14))*Premissas!$C$5</f>
        <v/>
      </c>
      <c r="F34" s="29">
        <f>(Premissas!$C$13+MAX(0,F17*Premissas!$C$15-Premissas!$C$14))*Premissas!$C$5</f>
        <v/>
      </c>
      <c r="G34" s="29">
        <f>(Premissas!$C$13+MAX(0,G17*Premissas!$C$15-Premissas!$C$14))*Premissas!$C$5</f>
        <v/>
      </c>
      <c r="H34" s="29">
        <f>(Premissas!$C$13+MAX(0,H17*Premissas!$C$15-Premissas!$C$14))*Premissas!$C$5</f>
        <v/>
      </c>
      <c r="I34" s="29">
        <f>(Premissas!$C$13+MAX(0,I17*Premissas!$C$15-Premissas!$C$14))*Premissas!$C$5</f>
        <v/>
      </c>
      <c r="J34" s="29">
        <f>(Premissas!$C$13+MAX(0,J17*Premissas!$C$15-Premissas!$C$14))*Premissas!$C$5</f>
        <v/>
      </c>
      <c r="K34" s="29">
        <f>(Premissas!$C$13+MAX(0,K17*Premissas!$C$15-Premissas!$C$14))*Premissas!$C$5</f>
        <v/>
      </c>
      <c r="L34" s="29">
        <f>(Premissas!$C$13+MAX(0,L17*Premissas!$C$15-Premissas!$C$14))*Premissas!$C$5</f>
        <v/>
      </c>
      <c r="M34" s="29">
        <f>(Premissas!$C$13+MAX(0,M17*Premissas!$C$15-Premissas!$C$14))*Premissas!$C$5</f>
        <v/>
      </c>
      <c r="N34" s="29">
        <f>(Premissas!$C$13+MAX(0,N17*Premissas!$C$15-Premissas!$C$14))*Premissas!$C$5</f>
        <v/>
      </c>
      <c r="O34" s="29">
        <f>(Premissas!$C$13+MAX(0,O17*Premissas!$C$15-Premissas!$C$14))*Premissas!$C$5</f>
        <v/>
      </c>
      <c r="P34" s="29">
        <f>(Premissas!$C$13+MAX(0,P17*Premissas!$C$15-Premissas!$C$14))*Premissas!$C$5</f>
        <v/>
      </c>
      <c r="Q34" s="29">
        <f>(Premissas!$C$13+MAX(0,Q17*Premissas!$C$15-Premissas!$C$14))*Premissas!$C$5</f>
        <v/>
      </c>
      <c r="R34" s="29">
        <f>(Premissas!$C$13+MAX(0,R17*Premissas!$C$15-Premissas!$C$14))*Premissas!$C$5</f>
        <v/>
      </c>
      <c r="S34" s="29">
        <f>(Premissas!$C$13+MAX(0,S17*Premissas!$C$15-Premissas!$C$14))*Premissas!$C$5</f>
        <v/>
      </c>
      <c r="T34" s="29">
        <f>(Premissas!$C$13+MAX(0,T17*Premissas!$C$15-Premissas!$C$14))*Premissas!$C$5</f>
        <v/>
      </c>
      <c r="U34" s="29">
        <f>(Premissas!$C$13+MAX(0,U17*Premissas!$C$15-Premissas!$C$14))*Premissas!$C$5</f>
        <v/>
      </c>
      <c r="V34" s="29">
        <f>(Premissas!$C$13+MAX(0,V17*Premissas!$C$15-Premissas!$C$14))*Premissas!$C$5</f>
        <v/>
      </c>
      <c r="W34" s="29">
        <f>(Premissas!$C$13+MAX(0,W17*Premissas!$C$15-Premissas!$C$14))*Premissas!$C$5</f>
        <v/>
      </c>
      <c r="X34" s="29">
        <f>(Premissas!$C$13+MAX(0,X17*Premissas!$C$15-Premissas!$C$14))*Premissas!$C$5</f>
        <v/>
      </c>
      <c r="Y34" s="29">
        <f>(Premissas!$C$13+MAX(0,Y17*Premissas!$C$15-Premissas!$C$14))*Premissas!$C$5</f>
        <v/>
      </c>
      <c r="Z34" s="29">
        <f>(Premissas!$C$13+MAX(0,Z17*Premissas!$C$15-Premissas!$C$14))*Premissas!$C$5</f>
        <v/>
      </c>
      <c r="AA34" s="29">
        <f>(Premissas!$C$13+MAX(0,AA17*Premissas!$C$15-Premissas!$C$14))*Premissas!$C$5</f>
        <v/>
      </c>
      <c r="AB34" s="29">
        <f>(Premissas!$C$13+MAX(0,AB17*Premissas!$C$15-Premissas!$C$14))*Premissas!$C$5</f>
        <v/>
      </c>
      <c r="AC34" s="29">
        <f>(Premissas!$C$13+MAX(0,AC17*Premissas!$C$15-Premissas!$C$14))*Premissas!$C$5</f>
        <v/>
      </c>
    </row>
    <row r="35">
      <c r="A35" s="3" t="inlineStr">
        <is>
          <t>Contabilidade e INSS do pró-labore</t>
        </is>
      </c>
      <c r="B35" s="3" t="inlineStr">
        <is>
          <t>brl</t>
        </is>
      </c>
      <c r="C35" s="29">
        <f>Premissas!$C$16+Premissas!$C$17*Premissas!$C$18</f>
        <v/>
      </c>
      <c r="D35" s="29">
        <f>Premissas!$C$16+Premissas!$C$17*Premissas!$C$18</f>
        <v/>
      </c>
      <c r="E35" s="29">
        <f>Premissas!$C$16+Premissas!$C$17*Premissas!$C$18</f>
        <v/>
      </c>
      <c r="F35" s="29">
        <f>Premissas!$C$16+Premissas!$C$17*Premissas!$C$18</f>
        <v/>
      </c>
      <c r="G35" s="29">
        <f>Premissas!$C$16+Premissas!$C$17*Premissas!$C$18</f>
        <v/>
      </c>
      <c r="H35" s="29">
        <f>Premissas!$C$16+Premissas!$C$17*Premissas!$C$18</f>
        <v/>
      </c>
      <c r="I35" s="29">
        <f>Premissas!$C$16+Premissas!$C$17*Premissas!$C$18</f>
        <v/>
      </c>
      <c r="J35" s="29">
        <f>Premissas!$C$16+Premissas!$C$17*Premissas!$C$18</f>
        <v/>
      </c>
      <c r="K35" s="29">
        <f>Premissas!$C$16+Premissas!$C$17*Premissas!$C$18</f>
        <v/>
      </c>
      <c r="L35" s="29">
        <f>Premissas!$C$16+Premissas!$C$17*Premissas!$C$18</f>
        <v/>
      </c>
      <c r="M35" s="29">
        <f>Premissas!$C$16+Premissas!$C$17*Premissas!$C$18</f>
        <v/>
      </c>
      <c r="N35" s="29">
        <f>Premissas!$C$16+Premissas!$C$17*Premissas!$C$18</f>
        <v/>
      </c>
      <c r="O35" s="29">
        <f>Premissas!$C$16+Premissas!$C$17*Premissas!$C$18</f>
        <v/>
      </c>
      <c r="P35" s="29">
        <f>Premissas!$C$16+Premissas!$C$17*Premissas!$C$18</f>
        <v/>
      </c>
      <c r="Q35" s="29">
        <f>Premissas!$C$16+Premissas!$C$17*Premissas!$C$18</f>
        <v/>
      </c>
      <c r="R35" s="29">
        <f>Premissas!$C$16+Premissas!$C$17*Premissas!$C$18</f>
        <v/>
      </c>
      <c r="S35" s="29">
        <f>Premissas!$C$16+Premissas!$C$17*Premissas!$C$18</f>
        <v/>
      </c>
      <c r="T35" s="29">
        <f>Premissas!$C$16+Premissas!$C$17*Premissas!$C$18</f>
        <v/>
      </c>
      <c r="U35" s="29">
        <f>Premissas!$C$16+Premissas!$C$17*Premissas!$C$18</f>
        <v/>
      </c>
      <c r="V35" s="29">
        <f>Premissas!$C$16+Premissas!$C$17*Premissas!$C$18</f>
        <v/>
      </c>
      <c r="W35" s="29">
        <f>Premissas!$C$16+Premissas!$C$17*Premissas!$C$18</f>
        <v/>
      </c>
      <c r="X35" s="29">
        <f>Premissas!$C$16+Premissas!$C$17*Premissas!$C$18</f>
        <v/>
      </c>
      <c r="Y35" s="29">
        <f>Premissas!$C$16+Premissas!$C$17*Premissas!$C$18</f>
        <v/>
      </c>
      <c r="Z35" s="29">
        <f>Premissas!$C$16+Premissas!$C$17*Premissas!$C$18</f>
        <v/>
      </c>
      <c r="AA35" s="29">
        <f>Premissas!$C$16+Premissas!$C$17*Premissas!$C$18</f>
        <v/>
      </c>
      <c r="AB35" s="29">
        <f>Premissas!$C$16+Premissas!$C$17*Premissas!$C$18</f>
        <v/>
      </c>
      <c r="AC35" s="29">
        <f>Premissas!$C$16+Premissas!$C$17*Premissas!$C$18</f>
        <v/>
      </c>
    </row>
    <row r="36">
      <c r="A36" s="3" t="inlineStr">
        <is>
          <t>Domínio e e-mail próprio</t>
        </is>
      </c>
      <c r="B36" s="3" t="inlineStr">
        <is>
          <t>brl</t>
        </is>
      </c>
      <c r="C36" s="29">
        <f>Premissas!$C$19+Premissas!$C$20</f>
        <v/>
      </c>
      <c r="D36" s="29">
        <f>Premissas!$C$19+Premissas!$C$20</f>
        <v/>
      </c>
      <c r="E36" s="29">
        <f>Premissas!$C$19+Premissas!$C$20</f>
        <v/>
      </c>
      <c r="F36" s="29">
        <f>Premissas!$C$19+Premissas!$C$20</f>
        <v/>
      </c>
      <c r="G36" s="29">
        <f>Premissas!$C$19+Premissas!$C$20</f>
        <v/>
      </c>
      <c r="H36" s="29">
        <f>Premissas!$C$19+Premissas!$C$20</f>
        <v/>
      </c>
      <c r="I36" s="29">
        <f>Premissas!$C$19+Premissas!$C$20</f>
        <v/>
      </c>
      <c r="J36" s="29">
        <f>Premissas!$C$19+Premissas!$C$20</f>
        <v/>
      </c>
      <c r="K36" s="29">
        <f>Premissas!$C$19+Premissas!$C$20</f>
        <v/>
      </c>
      <c r="L36" s="29">
        <f>Premissas!$C$19+Premissas!$C$20</f>
        <v/>
      </c>
      <c r="M36" s="29">
        <f>Premissas!$C$19+Premissas!$C$20</f>
        <v/>
      </c>
      <c r="N36" s="29">
        <f>Premissas!$C$19+Premissas!$C$20</f>
        <v/>
      </c>
      <c r="O36" s="29">
        <f>Premissas!$C$19+Premissas!$C$20</f>
        <v/>
      </c>
      <c r="P36" s="29">
        <f>Premissas!$C$19+Premissas!$C$20</f>
        <v/>
      </c>
      <c r="Q36" s="29">
        <f>Premissas!$C$19+Premissas!$C$20</f>
        <v/>
      </c>
      <c r="R36" s="29">
        <f>Premissas!$C$19+Premissas!$C$20</f>
        <v/>
      </c>
      <c r="S36" s="29">
        <f>Premissas!$C$19+Premissas!$C$20</f>
        <v/>
      </c>
      <c r="T36" s="29">
        <f>Premissas!$C$19+Premissas!$C$20</f>
        <v/>
      </c>
      <c r="U36" s="29">
        <f>Premissas!$C$19+Premissas!$C$20</f>
        <v/>
      </c>
      <c r="V36" s="29">
        <f>Premissas!$C$19+Premissas!$C$20</f>
        <v/>
      </c>
      <c r="W36" s="29">
        <f>Premissas!$C$19+Premissas!$C$20</f>
        <v/>
      </c>
      <c r="X36" s="29">
        <f>Premissas!$C$19+Premissas!$C$20</f>
        <v/>
      </c>
      <c r="Y36" s="29">
        <f>Premissas!$C$19+Premissas!$C$20</f>
        <v/>
      </c>
      <c r="Z36" s="29">
        <f>Premissas!$C$19+Premissas!$C$20</f>
        <v/>
      </c>
      <c r="AA36" s="29">
        <f>Premissas!$C$19+Premissas!$C$20</f>
        <v/>
      </c>
      <c r="AB36" s="29">
        <f>Premissas!$C$19+Premissas!$C$20</f>
        <v/>
      </c>
      <c r="AC36" s="29">
        <f>Premissas!$C$19+Premissas!$C$20</f>
        <v/>
      </c>
    </row>
    <row r="37">
      <c r="A37" s="3" t="inlineStr">
        <is>
          <t>Resend e Sentry (quando passam do grátis)</t>
        </is>
      </c>
      <c r="B37" s="3" t="inlineStr">
        <is>
          <t>brl</t>
        </is>
      </c>
      <c r="C37" s="29">
        <f>(IF(C17&gt;Premissas!$C$22,Premissas!$C$21,0)+IF(C17&gt;Premissas!$C$24,Premissas!$C$23,0))*Premissas!$C$5</f>
        <v/>
      </c>
      <c r="D37" s="29">
        <f>(IF(D17&gt;Premissas!$C$22,Premissas!$C$21,0)+IF(D17&gt;Premissas!$C$24,Premissas!$C$23,0))*Premissas!$C$5</f>
        <v/>
      </c>
      <c r="E37" s="29">
        <f>(IF(E17&gt;Premissas!$C$22,Premissas!$C$21,0)+IF(E17&gt;Premissas!$C$24,Premissas!$C$23,0))*Premissas!$C$5</f>
        <v/>
      </c>
      <c r="F37" s="29">
        <f>(IF(F17&gt;Premissas!$C$22,Premissas!$C$21,0)+IF(F17&gt;Premissas!$C$24,Premissas!$C$23,0))*Premissas!$C$5</f>
        <v/>
      </c>
      <c r="G37" s="29">
        <f>(IF(G17&gt;Premissas!$C$22,Premissas!$C$21,0)+IF(G17&gt;Premissas!$C$24,Premissas!$C$23,0))*Premissas!$C$5</f>
        <v/>
      </c>
      <c r="H37" s="29">
        <f>(IF(H17&gt;Premissas!$C$22,Premissas!$C$21,0)+IF(H17&gt;Premissas!$C$24,Premissas!$C$23,0))*Premissas!$C$5</f>
        <v/>
      </c>
      <c r="I37" s="29">
        <f>(IF(I17&gt;Premissas!$C$22,Premissas!$C$21,0)+IF(I17&gt;Premissas!$C$24,Premissas!$C$23,0))*Premissas!$C$5</f>
        <v/>
      </c>
      <c r="J37" s="29">
        <f>(IF(J17&gt;Premissas!$C$22,Premissas!$C$21,0)+IF(J17&gt;Premissas!$C$24,Premissas!$C$23,0))*Premissas!$C$5</f>
        <v/>
      </c>
      <c r="K37" s="29">
        <f>(IF(K17&gt;Premissas!$C$22,Premissas!$C$21,0)+IF(K17&gt;Premissas!$C$24,Premissas!$C$23,0))*Premissas!$C$5</f>
        <v/>
      </c>
      <c r="L37" s="29">
        <f>(IF(L17&gt;Premissas!$C$22,Premissas!$C$21,0)+IF(L17&gt;Premissas!$C$24,Premissas!$C$23,0))*Premissas!$C$5</f>
        <v/>
      </c>
      <c r="M37" s="29">
        <f>(IF(M17&gt;Premissas!$C$22,Premissas!$C$21,0)+IF(M17&gt;Premissas!$C$24,Premissas!$C$23,0))*Premissas!$C$5</f>
        <v/>
      </c>
      <c r="N37" s="29">
        <f>(IF(N17&gt;Premissas!$C$22,Premissas!$C$21,0)+IF(N17&gt;Premissas!$C$24,Premissas!$C$23,0))*Premissas!$C$5</f>
        <v/>
      </c>
      <c r="O37" s="29">
        <f>(IF(O17&gt;Premissas!$C$22,Premissas!$C$21,0)+IF(O17&gt;Premissas!$C$24,Premissas!$C$23,0))*Premissas!$C$5</f>
        <v/>
      </c>
      <c r="P37" s="29">
        <f>(IF(P17&gt;Premissas!$C$22,Premissas!$C$21,0)+IF(P17&gt;Premissas!$C$24,Premissas!$C$23,0))*Premissas!$C$5</f>
        <v/>
      </c>
      <c r="Q37" s="29">
        <f>(IF(Q17&gt;Premissas!$C$22,Premissas!$C$21,0)+IF(Q17&gt;Premissas!$C$24,Premissas!$C$23,0))*Premissas!$C$5</f>
        <v/>
      </c>
      <c r="R37" s="29">
        <f>(IF(R17&gt;Premissas!$C$22,Premissas!$C$21,0)+IF(R17&gt;Premissas!$C$24,Premissas!$C$23,0))*Premissas!$C$5</f>
        <v/>
      </c>
      <c r="S37" s="29">
        <f>(IF(S17&gt;Premissas!$C$22,Premissas!$C$21,0)+IF(S17&gt;Premissas!$C$24,Premissas!$C$23,0))*Premissas!$C$5</f>
        <v/>
      </c>
      <c r="T37" s="29">
        <f>(IF(T17&gt;Premissas!$C$22,Premissas!$C$21,0)+IF(T17&gt;Premissas!$C$24,Premissas!$C$23,0))*Premissas!$C$5</f>
        <v/>
      </c>
      <c r="U37" s="29">
        <f>(IF(U17&gt;Premissas!$C$22,Premissas!$C$21,0)+IF(U17&gt;Premissas!$C$24,Premissas!$C$23,0))*Premissas!$C$5</f>
        <v/>
      </c>
      <c r="V37" s="29">
        <f>(IF(V17&gt;Premissas!$C$22,Premissas!$C$21,0)+IF(V17&gt;Premissas!$C$24,Premissas!$C$23,0))*Premissas!$C$5</f>
        <v/>
      </c>
      <c r="W37" s="29">
        <f>(IF(W17&gt;Premissas!$C$22,Premissas!$C$21,0)+IF(W17&gt;Premissas!$C$24,Premissas!$C$23,0))*Premissas!$C$5</f>
        <v/>
      </c>
      <c r="X37" s="29">
        <f>(IF(X17&gt;Premissas!$C$22,Premissas!$C$21,0)+IF(X17&gt;Premissas!$C$24,Premissas!$C$23,0))*Premissas!$C$5</f>
        <v/>
      </c>
      <c r="Y37" s="29">
        <f>(IF(Y17&gt;Premissas!$C$22,Premissas!$C$21,0)+IF(Y17&gt;Premissas!$C$24,Premissas!$C$23,0))*Premissas!$C$5</f>
        <v/>
      </c>
      <c r="Z37" s="29">
        <f>(IF(Z17&gt;Premissas!$C$22,Premissas!$C$21,0)+IF(Z17&gt;Premissas!$C$24,Premissas!$C$23,0))*Premissas!$C$5</f>
        <v/>
      </c>
      <c r="AA37" s="29">
        <f>(IF(AA17&gt;Premissas!$C$22,Premissas!$C$21,0)+IF(AA17&gt;Premissas!$C$24,Premissas!$C$23,0))*Premissas!$C$5</f>
        <v/>
      </c>
      <c r="AB37" s="29">
        <f>(IF(AB17&gt;Premissas!$C$22,Premissas!$C$21,0)+IF(AB17&gt;Premissas!$C$24,Premissas!$C$23,0))*Premissas!$C$5</f>
        <v/>
      </c>
      <c r="AC37" s="29">
        <f>(IF(AC17&gt;Premissas!$C$22,Premissas!$C$21,0)+IF(AC17&gt;Premissas!$C$24,Premissas!$C$23,0))*Premissas!$C$5</f>
        <v/>
      </c>
    </row>
    <row r="38">
      <c r="A38" s="3" t="inlineStr">
        <is>
          <t>Rua: transporte</t>
        </is>
      </c>
      <c r="B38" s="3" t="inlineStr">
        <is>
          <t>brl</t>
        </is>
      </c>
      <c r="C38" s="29">
        <f>C7*Premissas!$C$31</f>
        <v/>
      </c>
      <c r="D38" s="29">
        <f>D7*Premissas!$C$31</f>
        <v/>
      </c>
      <c r="E38" s="29">
        <f>E7*Premissas!$C$31</f>
        <v/>
      </c>
      <c r="F38" s="29">
        <f>F7*Premissas!$C$31</f>
        <v/>
      </c>
      <c r="G38" s="29">
        <f>G7*Premissas!$C$31</f>
        <v/>
      </c>
      <c r="H38" s="29">
        <f>H7*Premissas!$C$31</f>
        <v/>
      </c>
      <c r="I38" s="29">
        <f>I7*Premissas!$C$31</f>
        <v/>
      </c>
      <c r="J38" s="29">
        <f>J7*Premissas!$C$31</f>
        <v/>
      </c>
      <c r="K38" s="29">
        <f>K7*Premissas!$C$31</f>
        <v/>
      </c>
      <c r="L38" s="29">
        <f>L7*Premissas!$C$31</f>
        <v/>
      </c>
      <c r="M38" s="29">
        <f>M7*Premissas!$C$31</f>
        <v/>
      </c>
      <c r="N38" s="29">
        <f>N7*Premissas!$C$31</f>
        <v/>
      </c>
      <c r="O38" s="29">
        <f>O7*Premissas!$C$31</f>
        <v/>
      </c>
      <c r="P38" s="29">
        <f>P7*Premissas!$C$31</f>
        <v/>
      </c>
      <c r="Q38" s="29">
        <f>Q7*Premissas!$C$31</f>
        <v/>
      </c>
      <c r="R38" s="29">
        <f>R7*Premissas!$C$31</f>
        <v/>
      </c>
      <c r="S38" s="29">
        <f>S7*Premissas!$C$31</f>
        <v/>
      </c>
      <c r="T38" s="29">
        <f>T7*Premissas!$C$31</f>
        <v/>
      </c>
      <c r="U38" s="29">
        <f>U7*Premissas!$C$31</f>
        <v/>
      </c>
      <c r="V38" s="29">
        <f>V7*Premissas!$C$31</f>
        <v/>
      </c>
      <c r="W38" s="29">
        <f>W7*Premissas!$C$31</f>
        <v/>
      </c>
      <c r="X38" s="29">
        <f>X7*Premissas!$C$31</f>
        <v/>
      </c>
      <c r="Y38" s="29">
        <f>Y7*Premissas!$C$31</f>
        <v/>
      </c>
      <c r="Z38" s="29">
        <f>Z7*Premissas!$C$31</f>
        <v/>
      </c>
      <c r="AA38" s="29">
        <f>AA7*Premissas!$C$31</f>
        <v/>
      </c>
      <c r="AB38" s="29">
        <f>AB7*Premissas!$C$31</f>
        <v/>
      </c>
      <c r="AC38" s="29">
        <f>AC7*Premissas!$C$31</f>
        <v/>
      </c>
    </row>
    <row r="39">
      <c r="A39" s="3" t="inlineStr">
        <is>
          <t>Conteúdo e material</t>
        </is>
      </c>
      <c r="B39" s="3" t="inlineStr">
        <is>
          <t>brl</t>
        </is>
      </c>
      <c r="C39" s="29">
        <f>Premissas!$C$32</f>
        <v/>
      </c>
      <c r="D39" s="29">
        <f>Premissas!$C$32</f>
        <v/>
      </c>
      <c r="E39" s="29">
        <f>Premissas!$C$32</f>
        <v/>
      </c>
      <c r="F39" s="29">
        <f>Premissas!$C$32</f>
        <v/>
      </c>
      <c r="G39" s="29">
        <f>Premissas!$C$32</f>
        <v/>
      </c>
      <c r="H39" s="29">
        <f>Premissas!$C$32</f>
        <v/>
      </c>
      <c r="I39" s="29">
        <f>Premissas!$C$32</f>
        <v/>
      </c>
      <c r="J39" s="29">
        <f>Premissas!$C$32</f>
        <v/>
      </c>
      <c r="K39" s="29">
        <f>Premissas!$C$32</f>
        <v/>
      </c>
      <c r="L39" s="29">
        <f>Premissas!$C$32</f>
        <v/>
      </c>
      <c r="M39" s="29">
        <f>Premissas!$C$32</f>
        <v/>
      </c>
      <c r="N39" s="29">
        <f>Premissas!$C$32</f>
        <v/>
      </c>
      <c r="O39" s="29">
        <f>Premissas!$C$32</f>
        <v/>
      </c>
      <c r="P39" s="29">
        <f>Premissas!$C$32</f>
        <v/>
      </c>
      <c r="Q39" s="29">
        <f>Premissas!$C$32</f>
        <v/>
      </c>
      <c r="R39" s="29">
        <f>Premissas!$C$32</f>
        <v/>
      </c>
      <c r="S39" s="29">
        <f>Premissas!$C$32</f>
        <v/>
      </c>
      <c r="T39" s="29">
        <f>Premissas!$C$32</f>
        <v/>
      </c>
      <c r="U39" s="29">
        <f>Premissas!$C$32</f>
        <v/>
      </c>
      <c r="V39" s="29">
        <f>Premissas!$C$32</f>
        <v/>
      </c>
      <c r="W39" s="29">
        <f>Premissas!$C$32</f>
        <v/>
      </c>
      <c r="X39" s="29">
        <f>Premissas!$C$32</f>
        <v/>
      </c>
      <c r="Y39" s="29">
        <f>Premissas!$C$32</f>
        <v/>
      </c>
      <c r="Z39" s="29">
        <f>Premissas!$C$32</f>
        <v/>
      </c>
      <c r="AA39" s="29">
        <f>Premissas!$C$32</f>
        <v/>
      </c>
      <c r="AB39" s="29">
        <f>Premissas!$C$32</f>
        <v/>
      </c>
      <c r="AC39" s="29">
        <f>Premissas!$C$32</f>
        <v/>
      </c>
    </row>
    <row r="40">
      <c r="A40" s="27" t="inlineStr">
        <is>
          <t>Total de custos</t>
        </is>
      </c>
      <c r="B40" s="3" t="inlineStr">
        <is>
          <t>brl</t>
        </is>
      </c>
      <c r="C40" s="30">
        <f>SUM(C33:C39)</f>
        <v/>
      </c>
      <c r="D40" s="30">
        <f>SUM(D33:D39)</f>
        <v/>
      </c>
      <c r="E40" s="30">
        <f>SUM(E33:E39)</f>
        <v/>
      </c>
      <c r="F40" s="30">
        <f>SUM(F33:F39)</f>
        <v/>
      </c>
      <c r="G40" s="30">
        <f>SUM(G33:G39)</f>
        <v/>
      </c>
      <c r="H40" s="30">
        <f>SUM(H33:H39)</f>
        <v/>
      </c>
      <c r="I40" s="30">
        <f>SUM(I33:I39)</f>
        <v/>
      </c>
      <c r="J40" s="30">
        <f>SUM(J33:J39)</f>
        <v/>
      </c>
      <c r="K40" s="30">
        <f>SUM(K33:K39)</f>
        <v/>
      </c>
      <c r="L40" s="30">
        <f>SUM(L33:L39)</f>
        <v/>
      </c>
      <c r="M40" s="30">
        <f>SUM(M33:M39)</f>
        <v/>
      </c>
      <c r="N40" s="30">
        <f>SUM(N33:N39)</f>
        <v/>
      </c>
      <c r="O40" s="30">
        <f>SUM(O33:O39)</f>
        <v/>
      </c>
      <c r="P40" s="30">
        <f>SUM(P33:P39)</f>
        <v/>
      </c>
      <c r="Q40" s="30">
        <f>SUM(Q33:Q39)</f>
        <v/>
      </c>
      <c r="R40" s="30">
        <f>SUM(R33:R39)</f>
        <v/>
      </c>
      <c r="S40" s="30">
        <f>SUM(S33:S39)</f>
        <v/>
      </c>
      <c r="T40" s="30">
        <f>SUM(T33:T39)</f>
        <v/>
      </c>
      <c r="U40" s="30">
        <f>SUM(U33:U39)</f>
        <v/>
      </c>
      <c r="V40" s="30">
        <f>SUM(V33:V39)</f>
        <v/>
      </c>
      <c r="W40" s="30">
        <f>SUM(W33:W39)</f>
        <v/>
      </c>
      <c r="X40" s="30">
        <f>SUM(X33:X39)</f>
        <v/>
      </c>
      <c r="Y40" s="30">
        <f>SUM(Y33:Y39)</f>
        <v/>
      </c>
      <c r="Z40" s="30">
        <f>SUM(Z33:Z39)</f>
        <v/>
      </c>
      <c r="AA40" s="30">
        <f>SUM(AA33:AA39)</f>
        <v/>
      </c>
      <c r="AB40" s="30">
        <f>SUM(AB33:AB39)</f>
        <v/>
      </c>
      <c r="AC40" s="30">
        <f>SUM(AC33:AC39)</f>
        <v/>
      </c>
    </row>
    <row r="41">
      <c r="A41" s="27" t="inlineStr">
        <is>
          <t>Resultado operacional</t>
        </is>
      </c>
      <c r="B41" s="3" t="inlineStr">
        <is>
          <t>brl</t>
        </is>
      </c>
      <c r="C41" s="30">
        <f>C31-C40</f>
        <v/>
      </c>
      <c r="D41" s="30">
        <f>D31-D40</f>
        <v/>
      </c>
      <c r="E41" s="30">
        <f>E31-E40</f>
        <v/>
      </c>
      <c r="F41" s="30">
        <f>F31-F40</f>
        <v/>
      </c>
      <c r="G41" s="30">
        <f>G31-G40</f>
        <v/>
      </c>
      <c r="H41" s="30">
        <f>H31-H40</f>
        <v/>
      </c>
      <c r="I41" s="30">
        <f>I31-I40</f>
        <v/>
      </c>
      <c r="J41" s="30">
        <f>J31-J40</f>
        <v/>
      </c>
      <c r="K41" s="30">
        <f>K31-K40</f>
        <v/>
      </c>
      <c r="L41" s="30">
        <f>L31-L40</f>
        <v/>
      </c>
      <c r="M41" s="30">
        <f>M31-M40</f>
        <v/>
      </c>
      <c r="N41" s="30">
        <f>N31-N40</f>
        <v/>
      </c>
      <c r="O41" s="30">
        <f>O31-O40</f>
        <v/>
      </c>
      <c r="P41" s="30">
        <f>P31-P40</f>
        <v/>
      </c>
      <c r="Q41" s="30">
        <f>Q31-Q40</f>
        <v/>
      </c>
      <c r="R41" s="30">
        <f>R31-R40</f>
        <v/>
      </c>
      <c r="S41" s="30">
        <f>S31-S40</f>
        <v/>
      </c>
      <c r="T41" s="30">
        <f>T31-T40</f>
        <v/>
      </c>
      <c r="U41" s="30">
        <f>U31-U40</f>
        <v/>
      </c>
      <c r="V41" s="30">
        <f>V31-V40</f>
        <v/>
      </c>
      <c r="W41" s="30">
        <f>W31-W40</f>
        <v/>
      </c>
      <c r="X41" s="30">
        <f>X31-X40</f>
        <v/>
      </c>
      <c r="Y41" s="30">
        <f>Y31-Y40</f>
        <v/>
      </c>
      <c r="Z41" s="30">
        <f>Z31-Z40</f>
        <v/>
      </c>
      <c r="AA41" s="30">
        <f>AA31-AA40</f>
        <v/>
      </c>
      <c r="AB41" s="30">
        <f>AB31-AB40</f>
        <v/>
      </c>
      <c r="AC41" s="30">
        <f>AC31-AC40</f>
        <v/>
      </c>
    </row>
    <row r="42">
      <c r="A42" s="3" t="inlineStr">
        <is>
          <t>Investimento único</t>
        </is>
      </c>
      <c r="B42" s="3" t="inlineStr">
        <is>
          <t>brl</t>
        </is>
      </c>
      <c r="C42" s="29">
        <f>Calendario!C10*(Premissas!$C$37+Premissas!$C$38+Premissas!$C$39+Premissas!$C$40)</f>
        <v/>
      </c>
      <c r="D42" s="29">
        <f>Calendario!D10*(Premissas!$C$37+Premissas!$C$38+Premissas!$C$39+Premissas!$C$40)</f>
        <v/>
      </c>
      <c r="E42" s="29">
        <f>Calendario!E10*(Premissas!$C$37+Premissas!$C$38+Premissas!$C$39+Premissas!$C$40)</f>
        <v/>
      </c>
      <c r="F42" s="29">
        <f>Calendario!F10*(Premissas!$C$37+Premissas!$C$38+Premissas!$C$39+Premissas!$C$40)</f>
        <v/>
      </c>
      <c r="G42" s="29">
        <f>Calendario!G10*(Premissas!$C$37+Premissas!$C$38+Premissas!$C$39+Premissas!$C$40)</f>
        <v/>
      </c>
      <c r="H42" s="29">
        <f>Calendario!H10*(Premissas!$C$37+Premissas!$C$38+Premissas!$C$39+Premissas!$C$40)</f>
        <v/>
      </c>
      <c r="I42" s="29">
        <f>Calendario!I10*(Premissas!$C$37+Premissas!$C$38+Premissas!$C$39+Premissas!$C$40)</f>
        <v/>
      </c>
      <c r="J42" s="29">
        <f>Calendario!J10*(Premissas!$C$37+Premissas!$C$38+Premissas!$C$39+Premissas!$C$40)</f>
        <v/>
      </c>
      <c r="K42" s="29">
        <f>Calendario!K10*(Premissas!$C$37+Premissas!$C$38+Premissas!$C$39+Premissas!$C$40)</f>
        <v/>
      </c>
      <c r="L42" s="29">
        <f>Calendario!L10*(Premissas!$C$37+Premissas!$C$38+Premissas!$C$39+Premissas!$C$40)</f>
        <v/>
      </c>
      <c r="M42" s="29">
        <f>Calendario!M10*(Premissas!$C$37+Premissas!$C$38+Premissas!$C$39+Premissas!$C$40)</f>
        <v/>
      </c>
      <c r="N42" s="29">
        <f>Calendario!N10*(Premissas!$C$37+Premissas!$C$38+Premissas!$C$39+Premissas!$C$40)</f>
        <v/>
      </c>
      <c r="O42" s="29">
        <f>Calendario!O10*(Premissas!$C$37+Premissas!$C$38+Premissas!$C$39+Premissas!$C$40)</f>
        <v/>
      </c>
      <c r="P42" s="29">
        <f>Calendario!P10*(Premissas!$C$37+Premissas!$C$38+Premissas!$C$39+Premissas!$C$40)</f>
        <v/>
      </c>
      <c r="Q42" s="29">
        <f>Calendario!Q10*(Premissas!$C$37+Premissas!$C$38+Premissas!$C$39+Premissas!$C$40)</f>
        <v/>
      </c>
      <c r="R42" s="29">
        <f>Calendario!R10*(Premissas!$C$37+Premissas!$C$38+Premissas!$C$39+Premissas!$C$40)</f>
        <v/>
      </c>
      <c r="S42" s="29">
        <f>Calendario!S10*(Premissas!$C$37+Premissas!$C$38+Premissas!$C$39+Premissas!$C$40)</f>
        <v/>
      </c>
      <c r="T42" s="29">
        <f>Calendario!T10*(Premissas!$C$37+Premissas!$C$38+Premissas!$C$39+Premissas!$C$40)</f>
        <v/>
      </c>
      <c r="U42" s="29">
        <f>Calendario!U10*(Premissas!$C$37+Premissas!$C$38+Premissas!$C$39+Premissas!$C$40)</f>
        <v/>
      </c>
      <c r="V42" s="29">
        <f>Calendario!V10*(Premissas!$C$37+Premissas!$C$38+Premissas!$C$39+Premissas!$C$40)</f>
        <v/>
      </c>
      <c r="W42" s="29">
        <f>Calendario!W10*(Premissas!$C$37+Premissas!$C$38+Premissas!$C$39+Premissas!$C$40)</f>
        <v/>
      </c>
      <c r="X42" s="29">
        <f>Calendario!X10*(Premissas!$C$37+Premissas!$C$38+Premissas!$C$39+Premissas!$C$40)</f>
        <v/>
      </c>
      <c r="Y42" s="29">
        <f>Calendario!Y10*(Premissas!$C$37+Premissas!$C$38+Premissas!$C$39+Premissas!$C$40)</f>
        <v/>
      </c>
      <c r="Z42" s="29">
        <f>Calendario!Z10*(Premissas!$C$37+Premissas!$C$38+Premissas!$C$39+Premissas!$C$40)</f>
        <v/>
      </c>
      <c r="AA42" s="29">
        <f>Calendario!AA10*(Premissas!$C$37+Premissas!$C$38+Premissas!$C$39+Premissas!$C$40)</f>
        <v/>
      </c>
      <c r="AB42" s="29">
        <f>Calendario!AB10*(Premissas!$C$37+Premissas!$C$38+Premissas!$C$39+Premissas!$C$40)</f>
        <v/>
      </c>
      <c r="AC42" s="29">
        <f>Calendario!AC10*(Premissas!$C$37+Premissas!$C$38+Premissas!$C$39+Premissas!$C$40)</f>
        <v/>
      </c>
    </row>
    <row r="43">
      <c r="A43" s="27" t="inlineStr">
        <is>
          <t>Resultado do mês</t>
        </is>
      </c>
      <c r="B43" s="3" t="inlineStr">
        <is>
          <t>brl</t>
        </is>
      </c>
      <c r="C43" s="30">
        <f>C41-C42</f>
        <v/>
      </c>
      <c r="D43" s="30">
        <f>D41-D42</f>
        <v/>
      </c>
      <c r="E43" s="30">
        <f>E41-E42</f>
        <v/>
      </c>
      <c r="F43" s="30">
        <f>F41-F42</f>
        <v/>
      </c>
      <c r="G43" s="30">
        <f>G41-G42</f>
        <v/>
      </c>
      <c r="H43" s="30">
        <f>H41-H42</f>
        <v/>
      </c>
      <c r="I43" s="30">
        <f>I41-I42</f>
        <v/>
      </c>
      <c r="J43" s="30">
        <f>J41-J42</f>
        <v/>
      </c>
      <c r="K43" s="30">
        <f>K41-K42</f>
        <v/>
      </c>
      <c r="L43" s="30">
        <f>L41-L42</f>
        <v/>
      </c>
      <c r="M43" s="30">
        <f>M41-M42</f>
        <v/>
      </c>
      <c r="N43" s="30">
        <f>N41-N42</f>
        <v/>
      </c>
      <c r="O43" s="30">
        <f>O41-O42</f>
        <v/>
      </c>
      <c r="P43" s="30">
        <f>P41-P42</f>
        <v/>
      </c>
      <c r="Q43" s="30">
        <f>Q41-Q42</f>
        <v/>
      </c>
      <c r="R43" s="30">
        <f>R41-R42</f>
        <v/>
      </c>
      <c r="S43" s="30">
        <f>S41-S42</f>
        <v/>
      </c>
      <c r="T43" s="30">
        <f>T41-T42</f>
        <v/>
      </c>
      <c r="U43" s="30">
        <f>U41-U42</f>
        <v/>
      </c>
      <c r="V43" s="30">
        <f>V41-V42</f>
        <v/>
      </c>
      <c r="W43" s="30">
        <f>W41-W42</f>
        <v/>
      </c>
      <c r="X43" s="30">
        <f>X41-X42</f>
        <v/>
      </c>
      <c r="Y43" s="30">
        <f>Y41-Y42</f>
        <v/>
      </c>
      <c r="Z43" s="30">
        <f>Z41-Z42</f>
        <v/>
      </c>
      <c r="AA43" s="30">
        <f>AA41-AA42</f>
        <v/>
      </c>
      <c r="AB43" s="30">
        <f>AB41-AB42</f>
        <v/>
      </c>
      <c r="AC43" s="30">
        <f>AC41-AC42</f>
        <v/>
      </c>
    </row>
    <row r="44">
      <c r="A44" s="27" t="inlineStr">
        <is>
          <t>Caixa acumulado</t>
        </is>
      </c>
      <c r="B44" s="3" t="inlineStr">
        <is>
          <t>brl</t>
        </is>
      </c>
      <c r="C44" s="30">
        <f>0+C43</f>
        <v/>
      </c>
      <c r="D44" s="30">
        <f>C44+D43</f>
        <v/>
      </c>
      <c r="E44" s="30">
        <f>D44+E43</f>
        <v/>
      </c>
      <c r="F44" s="30">
        <f>E44+F43</f>
        <v/>
      </c>
      <c r="G44" s="30">
        <f>F44+G43</f>
        <v/>
      </c>
      <c r="H44" s="30">
        <f>G44+H43</f>
        <v/>
      </c>
      <c r="I44" s="30">
        <f>H44+I43</f>
        <v/>
      </c>
      <c r="J44" s="30">
        <f>I44+J43</f>
        <v/>
      </c>
      <c r="K44" s="30">
        <f>J44+K43</f>
        <v/>
      </c>
      <c r="L44" s="30">
        <f>K44+L43</f>
        <v/>
      </c>
      <c r="M44" s="30">
        <f>L44+M43</f>
        <v/>
      </c>
      <c r="N44" s="30">
        <f>M44+N43</f>
        <v/>
      </c>
      <c r="O44" s="30">
        <f>N44+O43</f>
        <v/>
      </c>
      <c r="P44" s="30">
        <f>O44+P43</f>
        <v/>
      </c>
      <c r="Q44" s="30">
        <f>P44+Q43</f>
        <v/>
      </c>
      <c r="R44" s="30">
        <f>Q44+R43</f>
        <v/>
      </c>
      <c r="S44" s="30">
        <f>R44+S43</f>
        <v/>
      </c>
      <c r="T44" s="30">
        <f>S44+T43</f>
        <v/>
      </c>
      <c r="U44" s="30">
        <f>T44+U43</f>
        <v/>
      </c>
      <c r="V44" s="30">
        <f>U44+V43</f>
        <v/>
      </c>
      <c r="W44" s="30">
        <f>V44+W43</f>
        <v/>
      </c>
      <c r="X44" s="30">
        <f>W44+X43</f>
        <v/>
      </c>
      <c r="Y44" s="30">
        <f>X44+Y43</f>
        <v/>
      </c>
      <c r="Z44" s="30">
        <f>Y44+Z43</f>
        <v/>
      </c>
      <c r="AA44" s="30">
        <f>Z44+AA43</f>
        <v/>
      </c>
      <c r="AB44" s="30">
        <f>AA44+AB43</f>
        <v/>
      </c>
      <c r="AC44" s="30">
        <f>AB44+AC43</f>
        <v/>
      </c>
    </row>
    <row r="45">
      <c r="A45" s="24" t="inlineStr">
        <is>
          <t>Memo: o seu tempo (não sai do caixa)</t>
        </is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>
      <c r="A46" s="3" t="inlineStr">
        <is>
          <t>Horas de rua</t>
        </is>
      </c>
      <c r="B46" s="3" t="inlineStr">
        <is>
          <t>n1</t>
        </is>
      </c>
      <c r="C46" s="26">
        <f>C7*Premissas!$C$33</f>
        <v/>
      </c>
      <c r="D46" s="26">
        <f>D7*Premissas!$C$33</f>
        <v/>
      </c>
      <c r="E46" s="26">
        <f>E7*Premissas!$C$33</f>
        <v/>
      </c>
      <c r="F46" s="26">
        <f>F7*Premissas!$C$33</f>
        <v/>
      </c>
      <c r="G46" s="26">
        <f>G7*Premissas!$C$33</f>
        <v/>
      </c>
      <c r="H46" s="26">
        <f>H7*Premissas!$C$33</f>
        <v/>
      </c>
      <c r="I46" s="26">
        <f>I7*Premissas!$C$33</f>
        <v/>
      </c>
      <c r="J46" s="26">
        <f>J7*Premissas!$C$33</f>
        <v/>
      </c>
      <c r="K46" s="26">
        <f>K7*Premissas!$C$33</f>
        <v/>
      </c>
      <c r="L46" s="26">
        <f>L7*Premissas!$C$33</f>
        <v/>
      </c>
      <c r="M46" s="26">
        <f>M7*Premissas!$C$33</f>
        <v/>
      </c>
      <c r="N46" s="26">
        <f>N7*Premissas!$C$33</f>
        <v/>
      </c>
      <c r="O46" s="26">
        <f>O7*Premissas!$C$33</f>
        <v/>
      </c>
      <c r="P46" s="26">
        <f>P7*Premissas!$C$33</f>
        <v/>
      </c>
      <c r="Q46" s="26">
        <f>Q7*Premissas!$C$33</f>
        <v/>
      </c>
      <c r="R46" s="26">
        <f>R7*Premissas!$C$33</f>
        <v/>
      </c>
      <c r="S46" s="26">
        <f>S7*Premissas!$C$33</f>
        <v/>
      </c>
      <c r="T46" s="26">
        <f>T7*Premissas!$C$33</f>
        <v/>
      </c>
      <c r="U46" s="26">
        <f>U7*Premissas!$C$33</f>
        <v/>
      </c>
      <c r="V46" s="26">
        <f>V7*Premissas!$C$33</f>
        <v/>
      </c>
      <c r="W46" s="26">
        <f>W7*Premissas!$C$33</f>
        <v/>
      </c>
      <c r="X46" s="26">
        <f>X7*Premissas!$C$33</f>
        <v/>
      </c>
      <c r="Y46" s="26">
        <f>Y7*Premissas!$C$33</f>
        <v/>
      </c>
      <c r="Z46" s="26">
        <f>Z7*Premissas!$C$33</f>
        <v/>
      </c>
      <c r="AA46" s="26">
        <f>AA7*Premissas!$C$33</f>
        <v/>
      </c>
      <c r="AB46" s="26">
        <f>AB7*Premissas!$C$33</f>
        <v/>
      </c>
      <c r="AC46" s="26">
        <f>AC7*Premissas!$C$33</f>
        <v/>
      </c>
    </row>
    <row r="47">
      <c r="A47" s="3" t="inlineStr">
        <is>
          <t>Horas de suporte e implantação</t>
        </is>
      </c>
      <c r="B47" s="3" t="inlineStr">
        <is>
          <t>n1</t>
        </is>
      </c>
      <c r="C47" s="26">
        <f>C24*Premissas!$C$35+C15*Premissas!$C$36</f>
        <v/>
      </c>
      <c r="D47" s="26">
        <f>D24*Premissas!$C$35+D15*Premissas!$C$36</f>
        <v/>
      </c>
      <c r="E47" s="26">
        <f>E24*Premissas!$C$35+E15*Premissas!$C$36</f>
        <v/>
      </c>
      <c r="F47" s="26">
        <f>F24*Premissas!$C$35+F15*Premissas!$C$36</f>
        <v/>
      </c>
      <c r="G47" s="26">
        <f>G24*Premissas!$C$35+G15*Premissas!$C$36</f>
        <v/>
      </c>
      <c r="H47" s="26">
        <f>H24*Premissas!$C$35+H15*Premissas!$C$36</f>
        <v/>
      </c>
      <c r="I47" s="26">
        <f>I24*Premissas!$C$35+I15*Premissas!$C$36</f>
        <v/>
      </c>
      <c r="J47" s="26">
        <f>J24*Premissas!$C$35+J15*Premissas!$C$36</f>
        <v/>
      </c>
      <c r="K47" s="26">
        <f>K24*Premissas!$C$35+K15*Premissas!$C$36</f>
        <v/>
      </c>
      <c r="L47" s="26">
        <f>L24*Premissas!$C$35+L15*Premissas!$C$36</f>
        <v/>
      </c>
      <c r="M47" s="26">
        <f>M24*Premissas!$C$35+M15*Premissas!$C$36</f>
        <v/>
      </c>
      <c r="N47" s="26">
        <f>N24*Premissas!$C$35+N15*Premissas!$C$36</f>
        <v/>
      </c>
      <c r="O47" s="26">
        <f>O24*Premissas!$C$35+O15*Premissas!$C$36</f>
        <v/>
      </c>
      <c r="P47" s="26">
        <f>P24*Premissas!$C$35+P15*Premissas!$C$36</f>
        <v/>
      </c>
      <c r="Q47" s="26">
        <f>Q24*Premissas!$C$35+Q15*Premissas!$C$36</f>
        <v/>
      </c>
      <c r="R47" s="26">
        <f>R24*Premissas!$C$35+R15*Premissas!$C$36</f>
        <v/>
      </c>
      <c r="S47" s="26">
        <f>S24*Premissas!$C$35+S15*Premissas!$C$36</f>
        <v/>
      </c>
      <c r="T47" s="26">
        <f>T24*Premissas!$C$35+T15*Premissas!$C$36</f>
        <v/>
      </c>
      <c r="U47" s="26">
        <f>U24*Premissas!$C$35+U15*Premissas!$C$36</f>
        <v/>
      </c>
      <c r="V47" s="26">
        <f>V24*Premissas!$C$35+V15*Premissas!$C$36</f>
        <v/>
      </c>
      <c r="W47" s="26">
        <f>W24*Premissas!$C$35+W15*Premissas!$C$36</f>
        <v/>
      </c>
      <c r="X47" s="26">
        <f>X24*Premissas!$C$35+X15*Premissas!$C$36</f>
        <v/>
      </c>
      <c r="Y47" s="26">
        <f>Y24*Premissas!$C$35+Y15*Premissas!$C$36</f>
        <v/>
      </c>
      <c r="Z47" s="26">
        <f>Z24*Premissas!$C$35+Z15*Premissas!$C$36</f>
        <v/>
      </c>
      <c r="AA47" s="26">
        <f>AA24*Premissas!$C$35+AA15*Premissas!$C$36</f>
        <v/>
      </c>
      <c r="AB47" s="26">
        <f>AB24*Premissas!$C$35+AB15*Premissas!$C$36</f>
        <v/>
      </c>
      <c r="AC47" s="26">
        <f>AC24*Premissas!$C$35+AC15*Premissas!$C$36</f>
        <v/>
      </c>
    </row>
    <row r="48">
      <c r="A48" s="3" t="inlineStr">
        <is>
          <t>Valor do tempo</t>
        </is>
      </c>
      <c r="B48" s="3" t="inlineStr">
        <is>
          <t>brl</t>
        </is>
      </c>
      <c r="C48" s="29">
        <f>(C46+C47)*Premissas!$C$34</f>
        <v/>
      </c>
      <c r="D48" s="29">
        <f>(D46+D47)*Premissas!$C$34</f>
        <v/>
      </c>
      <c r="E48" s="29">
        <f>(E46+E47)*Premissas!$C$34</f>
        <v/>
      </c>
      <c r="F48" s="29">
        <f>(F46+F47)*Premissas!$C$34</f>
        <v/>
      </c>
      <c r="G48" s="29">
        <f>(G46+G47)*Premissas!$C$34</f>
        <v/>
      </c>
      <c r="H48" s="29">
        <f>(H46+H47)*Premissas!$C$34</f>
        <v/>
      </c>
      <c r="I48" s="29">
        <f>(I46+I47)*Premissas!$C$34</f>
        <v/>
      </c>
      <c r="J48" s="29">
        <f>(J46+J47)*Premissas!$C$34</f>
        <v/>
      </c>
      <c r="K48" s="29">
        <f>(K46+K47)*Premissas!$C$34</f>
        <v/>
      </c>
      <c r="L48" s="29">
        <f>(L46+L47)*Premissas!$C$34</f>
        <v/>
      </c>
      <c r="M48" s="29">
        <f>(M46+M47)*Premissas!$C$34</f>
        <v/>
      </c>
      <c r="N48" s="29">
        <f>(N46+N47)*Premissas!$C$34</f>
        <v/>
      </c>
      <c r="O48" s="29">
        <f>(O46+O47)*Premissas!$C$34</f>
        <v/>
      </c>
      <c r="P48" s="29">
        <f>(P46+P47)*Premissas!$C$34</f>
        <v/>
      </c>
      <c r="Q48" s="29">
        <f>(Q46+Q47)*Premissas!$C$34</f>
        <v/>
      </c>
      <c r="R48" s="29">
        <f>(R46+R47)*Premissas!$C$34</f>
        <v/>
      </c>
      <c r="S48" s="29">
        <f>(S46+S47)*Premissas!$C$34</f>
        <v/>
      </c>
      <c r="T48" s="29">
        <f>(T46+T47)*Premissas!$C$34</f>
        <v/>
      </c>
      <c r="U48" s="29">
        <f>(U46+U47)*Premissas!$C$34</f>
        <v/>
      </c>
      <c r="V48" s="29">
        <f>(V46+V47)*Premissas!$C$34</f>
        <v/>
      </c>
      <c r="W48" s="29">
        <f>(W46+W47)*Premissas!$C$34</f>
        <v/>
      </c>
      <c r="X48" s="29">
        <f>(X46+X47)*Premissas!$C$34</f>
        <v/>
      </c>
      <c r="Y48" s="29">
        <f>(Y46+Y47)*Premissas!$C$34</f>
        <v/>
      </c>
      <c r="Z48" s="29">
        <f>(Z46+Z47)*Premissas!$C$34</f>
        <v/>
      </c>
      <c r="AA48" s="29">
        <f>(AA46+AA47)*Premissas!$C$34</f>
        <v/>
      </c>
      <c r="AB48" s="29">
        <f>(AB46+AB47)*Premissas!$C$34</f>
        <v/>
      </c>
      <c r="AC48" s="29">
        <f>(AC46+AC47)*Premissas!$C$34</f>
        <v/>
      </c>
    </row>
    <row r="49">
      <c r="A49" s="3" t="inlineStr">
        <is>
          <t>Resultado do mês contando o seu tempo</t>
        </is>
      </c>
      <c r="B49" s="3" t="inlineStr">
        <is>
          <t>brl</t>
        </is>
      </c>
      <c r="C49" s="29">
        <f>C43-C48</f>
        <v/>
      </c>
      <c r="D49" s="29">
        <f>D43-D48</f>
        <v/>
      </c>
      <c r="E49" s="29">
        <f>E43-E48</f>
        <v/>
      </c>
      <c r="F49" s="29">
        <f>F43-F48</f>
        <v/>
      </c>
      <c r="G49" s="29">
        <f>G43-G48</f>
        <v/>
      </c>
      <c r="H49" s="29">
        <f>H43-H48</f>
        <v/>
      </c>
      <c r="I49" s="29">
        <f>I43-I48</f>
        <v/>
      </c>
      <c r="J49" s="29">
        <f>J43-J48</f>
        <v/>
      </c>
      <c r="K49" s="29">
        <f>K43-K48</f>
        <v/>
      </c>
      <c r="L49" s="29">
        <f>L43-L48</f>
        <v/>
      </c>
      <c r="M49" s="29">
        <f>M43-M48</f>
        <v/>
      </c>
      <c r="N49" s="29">
        <f>N43-N48</f>
        <v/>
      </c>
      <c r="O49" s="29">
        <f>O43-O48</f>
        <v/>
      </c>
      <c r="P49" s="29">
        <f>P43-P48</f>
        <v/>
      </c>
      <c r="Q49" s="29">
        <f>Q43-Q48</f>
        <v/>
      </c>
      <c r="R49" s="29">
        <f>R43-R48</f>
        <v/>
      </c>
      <c r="S49" s="29">
        <f>S43-S48</f>
        <v/>
      </c>
      <c r="T49" s="29">
        <f>T43-T48</f>
        <v/>
      </c>
      <c r="U49" s="29">
        <f>U43-U48</f>
        <v/>
      </c>
      <c r="V49" s="29">
        <f>V43-V48</f>
        <v/>
      </c>
      <c r="W49" s="29">
        <f>W43-W48</f>
        <v/>
      </c>
      <c r="X49" s="29">
        <f>X43-X48</f>
        <v/>
      </c>
      <c r="Y49" s="29">
        <f>Y43-Y48</f>
        <v/>
      </c>
      <c r="Z49" s="29">
        <f>Z43-Z48</f>
        <v/>
      </c>
      <c r="AA49" s="29">
        <f>AA43-AA48</f>
        <v/>
      </c>
      <c r="AB49" s="29">
        <f>AB43-AB48</f>
        <v/>
      </c>
      <c r="AC49" s="29">
        <f>AC43-AC48</f>
        <v/>
      </c>
    </row>
    <row r="50">
      <c r="A50" s="3" t="inlineStr">
        <is>
          <t>Marcador: resultado operacional &gt;= 0</t>
        </is>
      </c>
      <c r="B50" s="3" t="inlineStr">
        <is>
          <t>n</t>
        </is>
      </c>
      <c r="C50" s="23">
        <f>IF(C41&gt;=0,1,0)</f>
        <v/>
      </c>
      <c r="D50" s="23">
        <f>IF(D41&gt;=0,1,0)</f>
        <v/>
      </c>
      <c r="E50" s="23">
        <f>IF(E41&gt;=0,1,0)</f>
        <v/>
      </c>
      <c r="F50" s="23">
        <f>IF(F41&gt;=0,1,0)</f>
        <v/>
      </c>
      <c r="G50" s="23">
        <f>IF(G41&gt;=0,1,0)</f>
        <v/>
      </c>
      <c r="H50" s="23">
        <f>IF(H41&gt;=0,1,0)</f>
        <v/>
      </c>
      <c r="I50" s="23">
        <f>IF(I41&gt;=0,1,0)</f>
        <v/>
      </c>
      <c r="J50" s="23">
        <f>IF(J41&gt;=0,1,0)</f>
        <v/>
      </c>
      <c r="K50" s="23">
        <f>IF(K41&gt;=0,1,0)</f>
        <v/>
      </c>
      <c r="L50" s="23">
        <f>IF(L41&gt;=0,1,0)</f>
        <v/>
      </c>
      <c r="M50" s="23">
        <f>IF(M41&gt;=0,1,0)</f>
        <v/>
      </c>
      <c r="N50" s="23">
        <f>IF(N41&gt;=0,1,0)</f>
        <v/>
      </c>
      <c r="O50" s="23">
        <f>IF(O41&gt;=0,1,0)</f>
        <v/>
      </c>
      <c r="P50" s="23">
        <f>IF(P41&gt;=0,1,0)</f>
        <v/>
      </c>
      <c r="Q50" s="23">
        <f>IF(Q41&gt;=0,1,0)</f>
        <v/>
      </c>
      <c r="R50" s="23">
        <f>IF(R41&gt;=0,1,0)</f>
        <v/>
      </c>
      <c r="S50" s="23">
        <f>IF(S41&gt;=0,1,0)</f>
        <v/>
      </c>
      <c r="T50" s="23">
        <f>IF(T41&gt;=0,1,0)</f>
        <v/>
      </c>
      <c r="U50" s="23">
        <f>IF(U41&gt;=0,1,0)</f>
        <v/>
      </c>
      <c r="V50" s="23">
        <f>IF(V41&gt;=0,1,0)</f>
        <v/>
      </c>
      <c r="W50" s="23">
        <f>IF(W41&gt;=0,1,0)</f>
        <v/>
      </c>
      <c r="X50" s="23">
        <f>IF(X41&gt;=0,1,0)</f>
        <v/>
      </c>
      <c r="Y50" s="23">
        <f>IF(Y41&gt;=0,1,0)</f>
        <v/>
      </c>
      <c r="Z50" s="23">
        <f>IF(Z41&gt;=0,1,0)</f>
        <v/>
      </c>
      <c r="AA50" s="23">
        <f>IF(AA41&gt;=0,1,0)</f>
        <v/>
      </c>
      <c r="AB50" s="23">
        <f>IF(AB41&gt;=0,1,0)</f>
        <v/>
      </c>
      <c r="AC50" s="23">
        <f>IF(AC41&gt;=0,1,0)</f>
        <v/>
      </c>
    </row>
    <row r="51">
      <c r="A51" s="3" t="inlineStr">
        <is>
          <t>Marcador: caixa acumulado &gt;= 0</t>
        </is>
      </c>
      <c r="B51" s="3" t="inlineStr">
        <is>
          <t>n</t>
        </is>
      </c>
      <c r="C51" s="23">
        <f>IF(C44&gt;=0,1,0)</f>
        <v/>
      </c>
      <c r="D51" s="23">
        <f>IF(D44&gt;=0,1,0)</f>
        <v/>
      </c>
      <c r="E51" s="23">
        <f>IF(E44&gt;=0,1,0)</f>
        <v/>
      </c>
      <c r="F51" s="23">
        <f>IF(F44&gt;=0,1,0)</f>
        <v/>
      </c>
      <c r="G51" s="23">
        <f>IF(G44&gt;=0,1,0)</f>
        <v/>
      </c>
      <c r="H51" s="23">
        <f>IF(H44&gt;=0,1,0)</f>
        <v/>
      </c>
      <c r="I51" s="23">
        <f>IF(I44&gt;=0,1,0)</f>
        <v/>
      </c>
      <c r="J51" s="23">
        <f>IF(J44&gt;=0,1,0)</f>
        <v/>
      </c>
      <c r="K51" s="23">
        <f>IF(K44&gt;=0,1,0)</f>
        <v/>
      </c>
      <c r="L51" s="23">
        <f>IF(L44&gt;=0,1,0)</f>
        <v/>
      </c>
      <c r="M51" s="23">
        <f>IF(M44&gt;=0,1,0)</f>
        <v/>
      </c>
      <c r="N51" s="23">
        <f>IF(N44&gt;=0,1,0)</f>
        <v/>
      </c>
      <c r="O51" s="23">
        <f>IF(O44&gt;=0,1,0)</f>
        <v/>
      </c>
      <c r="P51" s="23">
        <f>IF(P44&gt;=0,1,0)</f>
        <v/>
      </c>
      <c r="Q51" s="23">
        <f>IF(Q44&gt;=0,1,0)</f>
        <v/>
      </c>
      <c r="R51" s="23">
        <f>IF(R44&gt;=0,1,0)</f>
        <v/>
      </c>
      <c r="S51" s="23">
        <f>IF(S44&gt;=0,1,0)</f>
        <v/>
      </c>
      <c r="T51" s="23">
        <f>IF(T44&gt;=0,1,0)</f>
        <v/>
      </c>
      <c r="U51" s="23">
        <f>IF(U44&gt;=0,1,0)</f>
        <v/>
      </c>
      <c r="V51" s="23">
        <f>IF(V44&gt;=0,1,0)</f>
        <v/>
      </c>
      <c r="W51" s="23">
        <f>IF(W44&gt;=0,1,0)</f>
        <v/>
      </c>
      <c r="X51" s="23">
        <f>IF(X44&gt;=0,1,0)</f>
        <v/>
      </c>
      <c r="Y51" s="23">
        <f>IF(Y44&gt;=0,1,0)</f>
        <v/>
      </c>
      <c r="Z51" s="23">
        <f>IF(Z44&gt;=0,1,0)</f>
        <v/>
      </c>
      <c r="AA51" s="23">
        <f>IF(AA44&gt;=0,1,0)</f>
        <v/>
      </c>
      <c r="AB51" s="23">
        <f>IF(AB44&gt;=0,1,0)</f>
        <v/>
      </c>
      <c r="AC51" s="23">
        <f>IF(AC44&gt;=0,1,0)</f>
        <v/>
      </c>
    </row>
    <row r="53">
      <c r="A53" s="24" t="inlineStr">
        <is>
          <t>Resultados do cenário</t>
        </is>
      </c>
      <c r="B53" s="25" t="n"/>
      <c r="C53" s="25" t="n"/>
    </row>
    <row r="54">
      <c r="A54" s="3" t="inlineStr">
        <is>
          <t>Pagantes no fim (Dez/28)</t>
        </is>
      </c>
      <c r="C54" s="31">
        <f>AC23</f>
        <v/>
      </c>
    </row>
    <row r="55">
      <c r="A55" s="3" t="inlineStr">
        <is>
          <t>Receita bruta mensal no fim (Dez/28)</t>
        </is>
      </c>
      <c r="C55" s="32">
        <f>AC28</f>
        <v/>
      </c>
    </row>
    <row r="56">
      <c r="A56" s="3" t="inlineStr">
        <is>
          <t>Resultado operacional em Dez/28</t>
        </is>
      </c>
      <c r="C56" s="32">
        <f>AC41</f>
        <v/>
      </c>
    </row>
    <row r="57">
      <c r="A57" s="3" t="inlineStr">
        <is>
          <t>Primeiro mês com resultado operacional &gt;= 0</t>
        </is>
      </c>
      <c r="C57" s="33">
        <f>IFERROR(INDEX($C$4:$AC$4,MATCH(1,$C$50:$AC$50,0)),"depois de "&amp;$AC$4)</f>
        <v/>
      </c>
    </row>
    <row r="58">
      <c r="A58" s="3" t="inlineStr">
        <is>
          <t>Mês em que o caixa acumulado volta a ser &gt;= 0</t>
        </is>
      </c>
      <c r="C58" s="33">
        <f>IFERROR(INDEX($C$4:$AC$4,MATCH(1,$C$51:$AC$51,0)),"depois de "&amp;$AC$4)</f>
        <v/>
      </c>
    </row>
    <row r="59">
      <c r="A59" s="3" t="inlineStr">
        <is>
          <t>Maior exposição de caixa (o que você precisa bancar)</t>
        </is>
      </c>
      <c r="C59" s="32">
        <f>MIN(C44:AC44)</f>
        <v/>
      </c>
    </row>
    <row r="60">
      <c r="A60" s="3" t="inlineStr">
        <is>
          <t>Caixa acumulado em Dez/28</t>
        </is>
      </c>
      <c r="C60" s="32">
        <f>AC44</f>
        <v/>
      </c>
    </row>
    <row r="61">
      <c r="A61" s="3" t="inlineStr">
        <is>
          <t>Retorno sobre o total gasto (27 meses)</t>
        </is>
      </c>
      <c r="C61" s="34">
        <f>(SUM(C41:AC41)-SUM(C42:AC42))/(SUM(C40:AC40)+SUM(C42:AC42))</f>
        <v/>
      </c>
    </row>
    <row r="62">
      <c r="A62" s="3" t="inlineStr">
        <is>
          <t>Receita bruta média por pagante</t>
        </is>
      </c>
      <c r="C62" s="35">
        <f>Premissas!$C$52*Premissas!$C$6+(1-Premissas!$C$52)*Premissas!$C$7</f>
        <v/>
      </c>
    </row>
    <row r="63">
      <c r="A63" s="3" t="inlineStr">
        <is>
          <t>Receita líquida média por pagante (depois de taxa e imposto)</t>
        </is>
      </c>
      <c r="C63" s="35">
        <f>C62*(1-(Premissas!$C$8*Premissas!$C$9+(1-Premissas!$C$8)*Premissas!$C$10)-Premissas!$C$11)</f>
        <v/>
      </c>
    </row>
    <row r="64">
      <c r="A64" s="3" t="inlineStr">
        <is>
          <t>LTV sem contar o seu tempo</t>
        </is>
      </c>
      <c r="C64" s="32">
        <f>C63/Premissas!$C$51</f>
        <v/>
      </c>
    </row>
    <row r="65">
      <c r="A65" s="3" t="inlineStr">
        <is>
          <t>LTV descontando o seu tempo de suporte</t>
        </is>
      </c>
      <c r="C65" s="32">
        <f>(C63-Premissas!$C$35*Premissas!$C$34)/Premissas!$C$51</f>
        <v/>
      </c>
    </row>
    <row r="66">
      <c r="A66" s="3" t="inlineStr">
        <is>
          <t>CAC em dinheiro (rua + conteúdo por novo pagante)</t>
        </is>
      </c>
      <c r="C66" s="32">
        <f>IFERROR((SUM(C38:AC38)+SUM(C39:AC39))/SUM(C21:AC21),0)</f>
        <v/>
      </c>
    </row>
    <row r="67">
      <c r="A67" s="3" t="inlineStr">
        <is>
          <t>CAC contando o seu tempo</t>
        </is>
      </c>
      <c r="C67" s="32">
        <f>IFERROR((SUM(C38:AC38)+SUM(C39:AC39)+SUM(C46:AC46)*Premissas!$C$34+SUM(C15:AC15)*Premissas!$C$36*Premissas!$C$34)/SUM(C21:AC21),0)</f>
        <v/>
      </c>
    </row>
    <row r="68">
      <c r="A68" s="3" t="inlineStr">
        <is>
          <t>LTV (com suporte) dividido pelo CAC (com tempo)</t>
        </is>
      </c>
      <c r="C68" s="36">
        <f>IFERROR(C65/C67,0)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CICLO · Projeção mês a mês · cenário Otimista</t>
        </is>
      </c>
    </row>
    <row r="2">
      <c r="A2" s="3" t="inlineStr">
        <is>
          <t>Tudo aqui é fórmula. Mude as premissas na aba Premissas e no Calendário.</t>
        </is>
      </c>
    </row>
    <row r="4">
      <c r="A4" s="4" t="inlineStr">
        <is>
          <t>Linha</t>
        </is>
      </c>
      <c r="B4" s="4" t="inlineStr">
        <is>
          <t>Unid.</t>
        </is>
      </c>
      <c r="C4" s="4" t="inlineStr">
        <is>
          <t>Out/26</t>
        </is>
      </c>
      <c r="D4" s="4" t="inlineStr">
        <is>
          <t>Nov/26</t>
        </is>
      </c>
      <c r="E4" s="4" t="inlineStr">
        <is>
          <t>Dez/26</t>
        </is>
      </c>
      <c r="F4" s="4" t="inlineStr">
        <is>
          <t>Jan/27</t>
        </is>
      </c>
      <c r="G4" s="4" t="inlineStr">
        <is>
          <t>Fev/27</t>
        </is>
      </c>
      <c r="H4" s="4" t="inlineStr">
        <is>
          <t>Mar/27</t>
        </is>
      </c>
      <c r="I4" s="4" t="inlineStr">
        <is>
          <t>Abr/27</t>
        </is>
      </c>
      <c r="J4" s="4" t="inlineStr">
        <is>
          <t>Mai/27</t>
        </is>
      </c>
      <c r="K4" s="4" t="inlineStr">
        <is>
          <t>Jun/27</t>
        </is>
      </c>
      <c r="L4" s="4" t="inlineStr">
        <is>
          <t>Jul/27</t>
        </is>
      </c>
      <c r="M4" s="4" t="inlineStr">
        <is>
          <t>Ago/27</t>
        </is>
      </c>
      <c r="N4" s="4" t="inlineStr">
        <is>
          <t>Set/27</t>
        </is>
      </c>
      <c r="O4" s="4" t="inlineStr">
        <is>
          <t>Out/27</t>
        </is>
      </c>
      <c r="P4" s="4" t="inlineStr">
        <is>
          <t>Nov/27</t>
        </is>
      </c>
      <c r="Q4" s="4" t="inlineStr">
        <is>
          <t>Dez/27</t>
        </is>
      </c>
      <c r="R4" s="4" t="inlineStr">
        <is>
          <t>Jan/28</t>
        </is>
      </c>
      <c r="S4" s="4" t="inlineStr">
        <is>
          <t>Fev/28</t>
        </is>
      </c>
      <c r="T4" s="4" t="inlineStr">
        <is>
          <t>Mar/28</t>
        </is>
      </c>
      <c r="U4" s="4" t="inlineStr">
        <is>
          <t>Abr/28</t>
        </is>
      </c>
      <c r="V4" s="4" t="inlineStr">
        <is>
          <t>Mai/28</t>
        </is>
      </c>
      <c r="W4" s="4" t="inlineStr">
        <is>
          <t>Jun/28</t>
        </is>
      </c>
      <c r="X4" s="4" t="inlineStr">
        <is>
          <t>Jul/28</t>
        </is>
      </c>
      <c r="Y4" s="4" t="inlineStr">
        <is>
          <t>Ago/28</t>
        </is>
      </c>
      <c r="Z4" s="4" t="inlineStr">
        <is>
          <t>Set/28</t>
        </is>
      </c>
      <c r="AA4" s="4" t="inlineStr">
        <is>
          <t>Out/28</t>
        </is>
      </c>
      <c r="AB4" s="4" t="inlineStr">
        <is>
          <t>Nov/28</t>
        </is>
      </c>
      <c r="AC4" s="4" t="inlineStr">
        <is>
          <t>Dez/28</t>
        </is>
      </c>
    </row>
    <row r="5">
      <c r="A5" s="24" t="inlineStr">
        <is>
          <t>Prospecção e contas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</row>
    <row r="6" ht="40" customHeight="1">
      <c r="A6" s="3" t="inlineStr">
        <is>
          <t>Fase</t>
        </is>
      </c>
      <c r="B6" s="3" t="inlineStr"/>
      <c r="C6" s="2">
        <f>Calendario!C6</f>
        <v/>
      </c>
      <c r="D6" s="2">
        <f>Calendario!D6</f>
        <v/>
      </c>
      <c r="E6" s="2">
        <f>Calendario!E6</f>
        <v/>
      </c>
      <c r="F6" s="2">
        <f>Calendario!F6</f>
        <v/>
      </c>
      <c r="G6" s="2">
        <f>Calendario!G6</f>
        <v/>
      </c>
      <c r="H6" s="2">
        <f>Calendario!H6</f>
        <v/>
      </c>
      <c r="I6" s="2">
        <f>Calendario!I6</f>
        <v/>
      </c>
      <c r="J6" s="2">
        <f>Calendario!J6</f>
        <v/>
      </c>
      <c r="K6" s="2">
        <f>Calendario!K6</f>
        <v/>
      </c>
      <c r="L6" s="2">
        <f>Calendario!L6</f>
        <v/>
      </c>
      <c r="M6" s="2">
        <f>Calendario!M6</f>
        <v/>
      </c>
      <c r="N6" s="2">
        <f>Calendario!N6</f>
        <v/>
      </c>
      <c r="O6" s="2">
        <f>Calendario!O6</f>
        <v/>
      </c>
      <c r="P6" s="2">
        <f>Calendario!P6</f>
        <v/>
      </c>
      <c r="Q6" s="2">
        <f>Calendario!Q6</f>
        <v/>
      </c>
      <c r="R6" s="2">
        <f>Calendario!R6</f>
        <v/>
      </c>
      <c r="S6" s="2">
        <f>Calendario!S6</f>
        <v/>
      </c>
      <c r="T6" s="2">
        <f>Calendario!T6</f>
        <v/>
      </c>
      <c r="U6" s="2">
        <f>Calendario!U6</f>
        <v/>
      </c>
      <c r="V6" s="2">
        <f>Calendario!V6</f>
        <v/>
      </c>
      <c r="W6" s="2">
        <f>Calendario!W6</f>
        <v/>
      </c>
      <c r="X6" s="2">
        <f>Calendario!X6</f>
        <v/>
      </c>
      <c r="Y6" s="2">
        <f>Calendario!Y6</f>
        <v/>
      </c>
      <c r="Z6" s="2">
        <f>Calendario!Z6</f>
        <v/>
      </c>
      <c r="AA6" s="2">
        <f>Calendario!AA6</f>
        <v/>
      </c>
      <c r="AB6" s="2">
        <f>Calendario!AB6</f>
        <v/>
      </c>
      <c r="AC6" s="2">
        <f>Calendario!AC6</f>
        <v/>
      </c>
    </row>
    <row r="7">
      <c r="A7" s="3" t="inlineStr">
        <is>
          <t>Dias de rua</t>
        </is>
      </c>
      <c r="B7" s="3" t="inlineStr">
        <is>
          <t>dias</t>
        </is>
      </c>
      <c r="C7" s="23">
        <f>Calendario!C7</f>
        <v/>
      </c>
      <c r="D7" s="23">
        <f>Calendario!D7</f>
        <v/>
      </c>
      <c r="E7" s="23">
        <f>Calendario!E7</f>
        <v/>
      </c>
      <c r="F7" s="23">
        <f>Calendario!F7</f>
        <v/>
      </c>
      <c r="G7" s="23">
        <f>Calendario!G7</f>
        <v/>
      </c>
      <c r="H7" s="23">
        <f>Calendario!H7</f>
        <v/>
      </c>
      <c r="I7" s="23">
        <f>Calendario!I7</f>
        <v/>
      </c>
      <c r="J7" s="23">
        <f>Calendario!J7</f>
        <v/>
      </c>
      <c r="K7" s="23">
        <f>Calendario!K7</f>
        <v/>
      </c>
      <c r="L7" s="23">
        <f>Calendario!L7</f>
        <v/>
      </c>
      <c r="M7" s="23">
        <f>Calendario!M7</f>
        <v/>
      </c>
      <c r="N7" s="23">
        <f>Calendario!N7</f>
        <v/>
      </c>
      <c r="O7" s="23">
        <f>Calendario!O7</f>
        <v/>
      </c>
      <c r="P7" s="23">
        <f>Calendario!P7</f>
        <v/>
      </c>
      <c r="Q7" s="23">
        <f>Calendario!Q7</f>
        <v/>
      </c>
      <c r="R7" s="23">
        <f>Calendario!R7</f>
        <v/>
      </c>
      <c r="S7" s="23">
        <f>Calendario!S7</f>
        <v/>
      </c>
      <c r="T7" s="23">
        <f>Calendario!T7</f>
        <v/>
      </c>
      <c r="U7" s="23">
        <f>Calendario!U7</f>
        <v/>
      </c>
      <c r="V7" s="23">
        <f>Calendario!V7</f>
        <v/>
      </c>
      <c r="W7" s="23">
        <f>Calendario!W7</f>
        <v/>
      </c>
      <c r="X7" s="23">
        <f>Calendario!X7</f>
        <v/>
      </c>
      <c r="Y7" s="23">
        <f>Calendario!Y7</f>
        <v/>
      </c>
      <c r="Z7" s="23">
        <f>Calendario!Z7</f>
        <v/>
      </c>
      <c r="AA7" s="23">
        <f>Calendario!AA7</f>
        <v/>
      </c>
      <c r="AB7" s="23">
        <f>Calendario!AB7</f>
        <v/>
      </c>
      <c r="AC7" s="23">
        <f>Calendario!AC7</f>
        <v/>
      </c>
    </row>
    <row r="8">
      <c r="A8" s="3" t="inlineStr">
        <is>
          <t>Abordagens</t>
        </is>
      </c>
      <c r="B8" s="3" t="inlineStr">
        <is>
          <t>n</t>
        </is>
      </c>
      <c r="C8" s="23">
        <f>C7*Premissas!$C$44</f>
        <v/>
      </c>
      <c r="D8" s="23">
        <f>D7*Premissas!$C$44</f>
        <v/>
      </c>
      <c r="E8" s="23">
        <f>E7*Premissas!$C$44</f>
        <v/>
      </c>
      <c r="F8" s="23">
        <f>F7*Premissas!$C$44</f>
        <v/>
      </c>
      <c r="G8" s="23">
        <f>G7*Premissas!$C$44</f>
        <v/>
      </c>
      <c r="H8" s="23">
        <f>H7*Premissas!$C$44</f>
        <v/>
      </c>
      <c r="I8" s="23">
        <f>I7*Premissas!$C$44</f>
        <v/>
      </c>
      <c r="J8" s="23">
        <f>J7*Premissas!$C$44</f>
        <v/>
      </c>
      <c r="K8" s="23">
        <f>K7*Premissas!$C$44</f>
        <v/>
      </c>
      <c r="L8" s="23">
        <f>L7*Premissas!$C$44</f>
        <v/>
      </c>
      <c r="M8" s="23">
        <f>M7*Premissas!$C$44</f>
        <v/>
      </c>
      <c r="N8" s="23">
        <f>N7*Premissas!$C$44</f>
        <v/>
      </c>
      <c r="O8" s="23">
        <f>O7*Premissas!$C$44</f>
        <v/>
      </c>
      <c r="P8" s="23">
        <f>P7*Premissas!$C$44</f>
        <v/>
      </c>
      <c r="Q8" s="23">
        <f>Q7*Premissas!$C$44</f>
        <v/>
      </c>
      <c r="R8" s="23">
        <f>R7*Premissas!$C$44</f>
        <v/>
      </c>
      <c r="S8" s="23">
        <f>S7*Premissas!$C$44</f>
        <v/>
      </c>
      <c r="T8" s="23">
        <f>T7*Premissas!$C$44</f>
        <v/>
      </c>
      <c r="U8" s="23">
        <f>U7*Premissas!$C$44</f>
        <v/>
      </c>
      <c r="V8" s="23">
        <f>V7*Premissas!$C$44</f>
        <v/>
      </c>
      <c r="W8" s="23">
        <f>W7*Premissas!$C$44</f>
        <v/>
      </c>
      <c r="X8" s="23">
        <f>X7*Premissas!$C$44</f>
        <v/>
      </c>
      <c r="Y8" s="23">
        <f>Y7*Premissas!$C$44</f>
        <v/>
      </c>
      <c r="Z8" s="23">
        <f>Z7*Premissas!$C$44</f>
        <v/>
      </c>
      <c r="AA8" s="23">
        <f>AA7*Premissas!$C$44</f>
        <v/>
      </c>
      <c r="AB8" s="23">
        <f>AB7*Premissas!$C$44</f>
        <v/>
      </c>
      <c r="AC8" s="23">
        <f>AC7*Premissas!$C$44</f>
        <v/>
      </c>
    </row>
    <row r="9">
      <c r="A9" s="3" t="inlineStr">
        <is>
          <t>Conversas de verdade</t>
        </is>
      </c>
      <c r="B9" s="3" t="inlineStr">
        <is>
          <t>n</t>
        </is>
      </c>
      <c r="C9" s="23">
        <f>C8*Premissas!$D$47</f>
        <v/>
      </c>
      <c r="D9" s="23">
        <f>D8*Premissas!$D$47</f>
        <v/>
      </c>
      <c r="E9" s="23">
        <f>E8*Premissas!$D$47</f>
        <v/>
      </c>
      <c r="F9" s="23">
        <f>F8*Premissas!$D$47</f>
        <v/>
      </c>
      <c r="G9" s="23">
        <f>G8*Premissas!$D$47</f>
        <v/>
      </c>
      <c r="H9" s="23">
        <f>H8*Premissas!$D$47</f>
        <v/>
      </c>
      <c r="I9" s="23">
        <f>I8*Premissas!$D$47</f>
        <v/>
      </c>
      <c r="J9" s="23">
        <f>J8*Premissas!$D$47</f>
        <v/>
      </c>
      <c r="K9" s="23">
        <f>K8*Premissas!$D$47</f>
        <v/>
      </c>
      <c r="L9" s="23">
        <f>L8*Premissas!$D$47</f>
        <v/>
      </c>
      <c r="M9" s="23">
        <f>M8*Premissas!$D$47</f>
        <v/>
      </c>
      <c r="N9" s="23">
        <f>N8*Premissas!$D$47</f>
        <v/>
      </c>
      <c r="O9" s="23">
        <f>O8*Premissas!$D$47</f>
        <v/>
      </c>
      <c r="P9" s="23">
        <f>P8*Premissas!$D$47</f>
        <v/>
      </c>
      <c r="Q9" s="23">
        <f>Q8*Premissas!$D$47</f>
        <v/>
      </c>
      <c r="R9" s="23">
        <f>R8*Premissas!$D$47</f>
        <v/>
      </c>
      <c r="S9" s="23">
        <f>S8*Premissas!$D$47</f>
        <v/>
      </c>
      <c r="T9" s="23">
        <f>T8*Premissas!$D$47</f>
        <v/>
      </c>
      <c r="U9" s="23">
        <f>U8*Premissas!$D$47</f>
        <v/>
      </c>
      <c r="V9" s="23">
        <f>V8*Premissas!$D$47</f>
        <v/>
      </c>
      <c r="W9" s="23">
        <f>W8*Premissas!$D$47</f>
        <v/>
      </c>
      <c r="X9" s="23">
        <f>X8*Premissas!$D$47</f>
        <v/>
      </c>
      <c r="Y9" s="23">
        <f>Y8*Premissas!$D$47</f>
        <v/>
      </c>
      <c r="Z9" s="23">
        <f>Z8*Premissas!$D$47</f>
        <v/>
      </c>
      <c r="AA9" s="23">
        <f>AA8*Premissas!$D$47</f>
        <v/>
      </c>
      <c r="AB9" s="23">
        <f>AB8*Premissas!$D$47</f>
        <v/>
      </c>
      <c r="AC9" s="23">
        <f>AC8*Premissas!$D$47</f>
        <v/>
      </c>
    </row>
    <row r="10">
      <c r="A10" s="3" t="inlineStr">
        <is>
          <t>Contas por prospecção</t>
        </is>
      </c>
      <c r="B10" s="3" t="inlineStr">
        <is>
          <t>n</t>
        </is>
      </c>
      <c r="C10" s="23">
        <f>C9*Premissas!$D$48</f>
        <v/>
      </c>
      <c r="D10" s="23">
        <f>D9*Premissas!$D$48</f>
        <v/>
      </c>
      <c r="E10" s="23">
        <f>E9*Premissas!$D$48</f>
        <v/>
      </c>
      <c r="F10" s="23">
        <f>F9*Premissas!$D$48</f>
        <v/>
      </c>
      <c r="G10" s="23">
        <f>G9*Premissas!$D$48</f>
        <v/>
      </c>
      <c r="H10" s="23">
        <f>H9*Premissas!$D$48</f>
        <v/>
      </c>
      <c r="I10" s="23">
        <f>I9*Premissas!$D$48</f>
        <v/>
      </c>
      <c r="J10" s="23">
        <f>J9*Premissas!$D$48</f>
        <v/>
      </c>
      <c r="K10" s="23">
        <f>K9*Premissas!$D$48</f>
        <v/>
      </c>
      <c r="L10" s="23">
        <f>L9*Premissas!$D$48</f>
        <v/>
      </c>
      <c r="M10" s="23">
        <f>M9*Premissas!$D$48</f>
        <v/>
      </c>
      <c r="N10" s="23">
        <f>N9*Premissas!$D$48</f>
        <v/>
      </c>
      <c r="O10" s="23">
        <f>O9*Premissas!$D$48</f>
        <v/>
      </c>
      <c r="P10" s="23">
        <f>P9*Premissas!$D$48</f>
        <v/>
      </c>
      <c r="Q10" s="23">
        <f>Q9*Premissas!$D$48</f>
        <v/>
      </c>
      <c r="R10" s="23">
        <f>R9*Premissas!$D$48</f>
        <v/>
      </c>
      <c r="S10" s="23">
        <f>S9*Premissas!$D$48</f>
        <v/>
      </c>
      <c r="T10" s="23">
        <f>T9*Premissas!$D$48</f>
        <v/>
      </c>
      <c r="U10" s="23">
        <f>U9*Premissas!$D$48</f>
        <v/>
      </c>
      <c r="V10" s="23">
        <f>V9*Premissas!$D$48</f>
        <v/>
      </c>
      <c r="W10" s="23">
        <f>W9*Premissas!$D$48</f>
        <v/>
      </c>
      <c r="X10" s="23">
        <f>X9*Premissas!$D$48</f>
        <v/>
      </c>
      <c r="Y10" s="23">
        <f>Y9*Premissas!$D$48</f>
        <v/>
      </c>
      <c r="Z10" s="23">
        <f>Z9*Premissas!$D$48</f>
        <v/>
      </c>
      <c r="AA10" s="23">
        <f>AA9*Premissas!$D$48</f>
        <v/>
      </c>
      <c r="AB10" s="23">
        <f>AB9*Premissas!$D$48</f>
        <v/>
      </c>
      <c r="AC10" s="23">
        <f>AC9*Premissas!$D$48</f>
        <v/>
      </c>
    </row>
    <row r="11">
      <c r="A11" s="3" t="inlineStr">
        <is>
          <t>Contas por indicação, parceiros e conteúdo</t>
        </is>
      </c>
      <c r="B11" s="3" t="inlineStr">
        <is>
          <t>n</t>
        </is>
      </c>
      <c r="C11" s="23">
        <f>0*Premissas!$D$53+Calendario!C11*Premissas!$D$54</f>
        <v/>
      </c>
      <c r="D11" s="23">
        <f>C23*Premissas!$D$53+Calendario!D11*Premissas!$D$54</f>
        <v/>
      </c>
      <c r="E11" s="23">
        <f>D23*Premissas!$D$53+Calendario!E11*Premissas!$D$54</f>
        <v/>
      </c>
      <c r="F11" s="23">
        <f>E23*Premissas!$D$53+Calendario!F11*Premissas!$D$54</f>
        <v/>
      </c>
      <c r="G11" s="23">
        <f>F23*Premissas!$D$53+Calendario!G11*Premissas!$D$54</f>
        <v/>
      </c>
      <c r="H11" s="23">
        <f>G23*Premissas!$D$53+Calendario!H11*Premissas!$D$54</f>
        <v/>
      </c>
      <c r="I11" s="23">
        <f>H23*Premissas!$D$53+Calendario!I11*Premissas!$D$54</f>
        <v/>
      </c>
      <c r="J11" s="23">
        <f>I23*Premissas!$D$53+Calendario!J11*Premissas!$D$54</f>
        <v/>
      </c>
      <c r="K11" s="23">
        <f>J23*Premissas!$D$53+Calendario!K11*Premissas!$D$54</f>
        <v/>
      </c>
      <c r="L11" s="23">
        <f>K23*Premissas!$D$53+Calendario!L11*Premissas!$D$54</f>
        <v/>
      </c>
      <c r="M11" s="23">
        <f>L23*Premissas!$D$53+Calendario!M11*Premissas!$D$54</f>
        <v/>
      </c>
      <c r="N11" s="23">
        <f>M23*Premissas!$D$53+Calendario!N11*Premissas!$D$54</f>
        <v/>
      </c>
      <c r="O11" s="23">
        <f>N23*Premissas!$D$53+Calendario!O11*Premissas!$D$54</f>
        <v/>
      </c>
      <c r="P11" s="23">
        <f>O23*Premissas!$D$53+Calendario!P11*Premissas!$D$54</f>
        <v/>
      </c>
      <c r="Q11" s="23">
        <f>P23*Premissas!$D$53+Calendario!Q11*Premissas!$D$54</f>
        <v/>
      </c>
      <c r="R11" s="23">
        <f>Q23*Premissas!$D$53+Calendario!R11*Premissas!$D$54</f>
        <v/>
      </c>
      <c r="S11" s="23">
        <f>R23*Premissas!$D$53+Calendario!S11*Premissas!$D$54</f>
        <v/>
      </c>
      <c r="T11" s="23">
        <f>S23*Premissas!$D$53+Calendario!T11*Premissas!$D$54</f>
        <v/>
      </c>
      <c r="U11" s="23">
        <f>T23*Premissas!$D$53+Calendario!U11*Premissas!$D$54</f>
        <v/>
      </c>
      <c r="V11" s="23">
        <f>U23*Premissas!$D$53+Calendario!V11*Premissas!$D$54</f>
        <v/>
      </c>
      <c r="W11" s="23">
        <f>V23*Premissas!$D$53+Calendario!W11*Premissas!$D$54</f>
        <v/>
      </c>
      <c r="X11" s="23">
        <f>W23*Premissas!$D$53+Calendario!X11*Premissas!$D$54</f>
        <v/>
      </c>
      <c r="Y11" s="23">
        <f>X23*Premissas!$D$53+Calendario!Y11*Premissas!$D$54</f>
        <v/>
      </c>
      <c r="Z11" s="23">
        <f>Y23*Premissas!$D$53+Calendario!Z11*Premissas!$D$54</f>
        <v/>
      </c>
      <c r="AA11" s="23">
        <f>Z23*Premissas!$D$53+Calendario!AA11*Premissas!$D$54</f>
        <v/>
      </c>
      <c r="AB11" s="23">
        <f>AA23*Premissas!$D$53+Calendario!AB11*Premissas!$D$54</f>
        <v/>
      </c>
      <c r="AC11" s="23">
        <f>AB23*Premissas!$D$53+Calendario!AC11*Premissas!$D$54</f>
        <v/>
      </c>
    </row>
    <row r="12">
      <c r="A12" s="3" t="inlineStr">
        <is>
          <t>Contas do alpha (convidadas)</t>
        </is>
      </c>
      <c r="B12" s="3" t="inlineStr">
        <is>
          <t>n</t>
        </is>
      </c>
      <c r="C12" s="23">
        <f>Calendario!C10*Premissas!$C$41</f>
        <v/>
      </c>
      <c r="D12" s="23">
        <f>Calendario!D10*Premissas!$C$41</f>
        <v/>
      </c>
      <c r="E12" s="23">
        <f>Calendario!E10*Premissas!$C$41</f>
        <v/>
      </c>
      <c r="F12" s="23">
        <f>Calendario!F10*Premissas!$C$41</f>
        <v/>
      </c>
      <c r="G12" s="23">
        <f>Calendario!G10*Premissas!$C$41</f>
        <v/>
      </c>
      <c r="H12" s="23">
        <f>Calendario!H10*Premissas!$C$41</f>
        <v/>
      </c>
      <c r="I12" s="23">
        <f>Calendario!I10*Premissas!$C$41</f>
        <v/>
      </c>
      <c r="J12" s="23">
        <f>Calendario!J10*Premissas!$C$41</f>
        <v/>
      </c>
      <c r="K12" s="23">
        <f>Calendario!K10*Premissas!$C$41</f>
        <v/>
      </c>
      <c r="L12" s="23">
        <f>Calendario!L10*Premissas!$C$41</f>
        <v/>
      </c>
      <c r="M12" s="23">
        <f>Calendario!M10*Premissas!$C$41</f>
        <v/>
      </c>
      <c r="N12" s="23">
        <f>Calendario!N10*Premissas!$C$41</f>
        <v/>
      </c>
      <c r="O12" s="23">
        <f>Calendario!O10*Premissas!$C$41</f>
        <v/>
      </c>
      <c r="P12" s="23">
        <f>Calendario!P10*Premissas!$C$41</f>
        <v/>
      </c>
      <c r="Q12" s="23">
        <f>Calendario!Q10*Premissas!$C$41</f>
        <v/>
      </c>
      <c r="R12" s="23">
        <f>Calendario!R10*Premissas!$C$41</f>
        <v/>
      </c>
      <c r="S12" s="23">
        <f>Calendario!S10*Premissas!$C$41</f>
        <v/>
      </c>
      <c r="T12" s="23">
        <f>Calendario!T10*Premissas!$C$41</f>
        <v/>
      </c>
      <c r="U12" s="23">
        <f>Calendario!U10*Premissas!$C$41</f>
        <v/>
      </c>
      <c r="V12" s="23">
        <f>Calendario!V10*Premissas!$C$41</f>
        <v/>
      </c>
      <c r="W12" s="23">
        <f>Calendario!W10*Premissas!$C$41</f>
        <v/>
      </c>
      <c r="X12" s="23">
        <f>Calendario!X10*Premissas!$C$41</f>
        <v/>
      </c>
      <c r="Y12" s="23">
        <f>Calendario!Y10*Premissas!$C$41</f>
        <v/>
      </c>
      <c r="Z12" s="23">
        <f>Calendario!Z10*Premissas!$C$41</f>
        <v/>
      </c>
      <c r="AA12" s="23">
        <f>Calendario!AA10*Premissas!$C$41</f>
        <v/>
      </c>
      <c r="AB12" s="23">
        <f>Calendario!AB10*Premissas!$C$41</f>
        <v/>
      </c>
      <c r="AC12" s="23">
        <f>Calendario!AC10*Premissas!$C$41</f>
        <v/>
      </c>
    </row>
    <row r="13">
      <c r="A13" s="3" t="inlineStr">
        <is>
          <t>Demanda total de contas</t>
        </is>
      </c>
      <c r="B13" s="3" t="inlineStr">
        <is>
          <t>n</t>
        </is>
      </c>
      <c r="C13" s="23">
        <f>C10+C11+C12</f>
        <v/>
      </c>
      <c r="D13" s="23">
        <f>D10+D11+D12</f>
        <v/>
      </c>
      <c r="E13" s="23">
        <f>E10+E11+E12</f>
        <v/>
      </c>
      <c r="F13" s="23">
        <f>F10+F11+F12</f>
        <v/>
      </c>
      <c r="G13" s="23">
        <f>G10+G11+G12</f>
        <v/>
      </c>
      <c r="H13" s="23">
        <f>H10+H11+H12</f>
        <v/>
      </c>
      <c r="I13" s="23">
        <f>I10+I11+I12</f>
        <v/>
      </c>
      <c r="J13" s="23">
        <f>J10+J11+J12</f>
        <v/>
      </c>
      <c r="K13" s="23">
        <f>K10+K11+K12</f>
        <v/>
      </c>
      <c r="L13" s="23">
        <f>L10+L11+L12</f>
        <v/>
      </c>
      <c r="M13" s="23">
        <f>M10+M11+M12</f>
        <v/>
      </c>
      <c r="N13" s="23">
        <f>N10+N11+N12</f>
        <v/>
      </c>
      <c r="O13" s="23">
        <f>O10+O11+O12</f>
        <v/>
      </c>
      <c r="P13" s="23">
        <f>P10+P11+P12</f>
        <v/>
      </c>
      <c r="Q13" s="23">
        <f>Q10+Q11+Q12</f>
        <v/>
      </c>
      <c r="R13" s="23">
        <f>R10+R11+R12</f>
        <v/>
      </c>
      <c r="S13" s="23">
        <f>S10+S11+S12</f>
        <v/>
      </c>
      <c r="T13" s="23">
        <f>T10+T11+T12</f>
        <v/>
      </c>
      <c r="U13" s="23">
        <f>U10+U11+U12</f>
        <v/>
      </c>
      <c r="V13" s="23">
        <f>V10+V11+V12</f>
        <v/>
      </c>
      <c r="W13" s="23">
        <f>W10+W11+W12</f>
        <v/>
      </c>
      <c r="X13" s="23">
        <f>X10+X11+X12</f>
        <v/>
      </c>
      <c r="Y13" s="23">
        <f>Y10+Y11+Y12</f>
        <v/>
      </c>
      <c r="Z13" s="23">
        <f>Z10+Z11+Z12</f>
        <v/>
      </c>
      <c r="AA13" s="23">
        <f>AA10+AA11+AA12</f>
        <v/>
      </c>
      <c r="AB13" s="23">
        <f>AB10+AB11+AB12</f>
        <v/>
      </c>
      <c r="AC13" s="23">
        <f>AC10+AC11+AC12</f>
        <v/>
      </c>
    </row>
    <row r="14">
      <c r="A14" s="3" t="inlineStr">
        <is>
          <t>Capacidade de atender</t>
        </is>
      </c>
      <c r="B14" s="3" t="inlineStr">
        <is>
          <t>n</t>
        </is>
      </c>
      <c r="C14" s="23">
        <f>IF(Calendario!C8=0,MAX(0,Premissas!$C$42-0),Premissas!$C$43)</f>
        <v/>
      </c>
      <c r="D14" s="23">
        <f>IF(Calendario!D8=0,MAX(0,Premissas!$C$42-C17),Premissas!$C$43)</f>
        <v/>
      </c>
      <c r="E14" s="23">
        <f>IF(Calendario!E8=0,MAX(0,Premissas!$C$42-D17),Premissas!$C$43)</f>
        <v/>
      </c>
      <c r="F14" s="23">
        <f>IF(Calendario!F8=0,MAX(0,Premissas!$C$42-E17),Premissas!$C$43)</f>
        <v/>
      </c>
      <c r="G14" s="23">
        <f>IF(Calendario!G8=0,MAX(0,Premissas!$C$42-F17),Premissas!$C$43)</f>
        <v/>
      </c>
      <c r="H14" s="23">
        <f>IF(Calendario!H8=0,MAX(0,Premissas!$C$42-G17),Premissas!$C$43)</f>
        <v/>
      </c>
      <c r="I14" s="23">
        <f>IF(Calendario!I8=0,MAX(0,Premissas!$C$42-H17),Premissas!$C$43)</f>
        <v/>
      </c>
      <c r="J14" s="23">
        <f>IF(Calendario!J8=0,MAX(0,Premissas!$C$42-I17),Premissas!$C$43)</f>
        <v/>
      </c>
      <c r="K14" s="23">
        <f>IF(Calendario!K8=0,MAX(0,Premissas!$C$42-J17),Premissas!$C$43)</f>
        <v/>
      </c>
      <c r="L14" s="23">
        <f>IF(Calendario!L8=0,MAX(0,Premissas!$C$42-K17),Premissas!$C$43)</f>
        <v/>
      </c>
      <c r="M14" s="23">
        <f>IF(Calendario!M8=0,MAX(0,Premissas!$C$42-L17),Premissas!$C$43)</f>
        <v/>
      </c>
      <c r="N14" s="23">
        <f>IF(Calendario!N8=0,MAX(0,Premissas!$C$42-M17),Premissas!$C$43)</f>
        <v/>
      </c>
      <c r="O14" s="23">
        <f>IF(Calendario!O8=0,MAX(0,Premissas!$C$42-N17),Premissas!$C$43)</f>
        <v/>
      </c>
      <c r="P14" s="23">
        <f>IF(Calendario!P8=0,MAX(0,Premissas!$C$42-O17),Premissas!$C$43)</f>
        <v/>
      </c>
      <c r="Q14" s="23">
        <f>IF(Calendario!Q8=0,MAX(0,Premissas!$C$42-P17),Premissas!$C$43)</f>
        <v/>
      </c>
      <c r="R14" s="23">
        <f>IF(Calendario!R8=0,MAX(0,Premissas!$C$42-Q17),Premissas!$C$43)</f>
        <v/>
      </c>
      <c r="S14" s="23">
        <f>IF(Calendario!S8=0,MAX(0,Premissas!$C$42-R17),Premissas!$C$43)</f>
        <v/>
      </c>
      <c r="T14" s="23">
        <f>IF(Calendario!T8=0,MAX(0,Premissas!$C$42-S17),Premissas!$C$43)</f>
        <v/>
      </c>
      <c r="U14" s="23">
        <f>IF(Calendario!U8=0,MAX(0,Premissas!$C$42-T17),Premissas!$C$43)</f>
        <v/>
      </c>
      <c r="V14" s="23">
        <f>IF(Calendario!V8=0,MAX(0,Premissas!$C$42-U17),Premissas!$C$43)</f>
        <v/>
      </c>
      <c r="W14" s="23">
        <f>IF(Calendario!W8=0,MAX(0,Premissas!$C$42-V17),Premissas!$C$43)</f>
        <v/>
      </c>
      <c r="X14" s="23">
        <f>IF(Calendario!X8=0,MAX(0,Premissas!$C$42-W17),Premissas!$C$43)</f>
        <v/>
      </c>
      <c r="Y14" s="23">
        <f>IF(Calendario!Y8=0,MAX(0,Premissas!$C$42-X17),Premissas!$C$43)</f>
        <v/>
      </c>
      <c r="Z14" s="23">
        <f>IF(Calendario!Z8=0,MAX(0,Premissas!$C$42-Y17),Premissas!$C$43)</f>
        <v/>
      </c>
      <c r="AA14" s="23">
        <f>IF(Calendario!AA8=0,MAX(0,Premissas!$C$42-Z17),Premissas!$C$43)</f>
        <v/>
      </c>
      <c r="AB14" s="23">
        <f>IF(Calendario!AB8=0,MAX(0,Premissas!$C$42-AA17),Premissas!$C$43)</f>
        <v/>
      </c>
      <c r="AC14" s="23">
        <f>IF(Calendario!AC8=0,MAX(0,Premissas!$C$42-AB17),Premissas!$C$43)</f>
        <v/>
      </c>
    </row>
    <row r="15">
      <c r="A15" s="3" t="inlineStr">
        <is>
          <t>Contas criadas</t>
        </is>
      </c>
      <c r="B15" s="3" t="inlineStr">
        <is>
          <t>n</t>
        </is>
      </c>
      <c r="C15" s="23">
        <f>MIN(C13,C14)</f>
        <v/>
      </c>
      <c r="D15" s="23">
        <f>MIN(D13,D14)</f>
        <v/>
      </c>
      <c r="E15" s="23">
        <f>MIN(E13,E14)</f>
        <v/>
      </c>
      <c r="F15" s="23">
        <f>MIN(F13,F14)</f>
        <v/>
      </c>
      <c r="G15" s="23">
        <f>MIN(G13,G14)</f>
        <v/>
      </c>
      <c r="H15" s="23">
        <f>MIN(H13,H14)</f>
        <v/>
      </c>
      <c r="I15" s="23">
        <f>MIN(I13,I14)</f>
        <v/>
      </c>
      <c r="J15" s="23">
        <f>MIN(J13,J14)</f>
        <v/>
      </c>
      <c r="K15" s="23">
        <f>MIN(K13,K14)</f>
        <v/>
      </c>
      <c r="L15" s="23">
        <f>MIN(L13,L14)</f>
        <v/>
      </c>
      <c r="M15" s="23">
        <f>MIN(M13,M14)</f>
        <v/>
      </c>
      <c r="N15" s="23">
        <f>MIN(N13,N14)</f>
        <v/>
      </c>
      <c r="O15" s="23">
        <f>MIN(O13,O14)</f>
        <v/>
      </c>
      <c r="P15" s="23">
        <f>MIN(P13,P14)</f>
        <v/>
      </c>
      <c r="Q15" s="23">
        <f>MIN(Q13,Q14)</f>
        <v/>
      </c>
      <c r="R15" s="23">
        <f>MIN(R13,R14)</f>
        <v/>
      </c>
      <c r="S15" s="23">
        <f>MIN(S13,S14)</f>
        <v/>
      </c>
      <c r="T15" s="23">
        <f>MIN(T13,T14)</f>
        <v/>
      </c>
      <c r="U15" s="23">
        <f>MIN(U13,U14)</f>
        <v/>
      </c>
      <c r="V15" s="23">
        <f>MIN(V13,V14)</f>
        <v/>
      </c>
      <c r="W15" s="23">
        <f>MIN(W13,W14)</f>
        <v/>
      </c>
      <c r="X15" s="23">
        <f>MIN(X13,X14)</f>
        <v/>
      </c>
      <c r="Y15" s="23">
        <f>MIN(Y13,Y14)</f>
        <v/>
      </c>
      <c r="Z15" s="23">
        <f>MIN(Z13,Z14)</f>
        <v/>
      </c>
      <c r="AA15" s="23">
        <f>MIN(AA13,AA14)</f>
        <v/>
      </c>
      <c r="AB15" s="23">
        <f>MIN(AB13,AB14)</f>
        <v/>
      </c>
      <c r="AC15" s="23">
        <f>MIN(AC13,AC14)</f>
        <v/>
      </c>
    </row>
    <row r="16">
      <c r="A16" s="3" t="inlineStr">
        <is>
          <t>Fila de espera gerada</t>
        </is>
      </c>
      <c r="B16" s="3" t="inlineStr">
        <is>
          <t>n</t>
        </is>
      </c>
      <c r="C16" s="23">
        <f>C13-C15</f>
        <v/>
      </c>
      <c r="D16" s="23">
        <f>D13-D15</f>
        <v/>
      </c>
      <c r="E16" s="23">
        <f>E13-E15</f>
        <v/>
      </c>
      <c r="F16" s="23">
        <f>F13-F15</f>
        <v/>
      </c>
      <c r="G16" s="23">
        <f>G13-G15</f>
        <v/>
      </c>
      <c r="H16" s="23">
        <f>H13-H15</f>
        <v/>
      </c>
      <c r="I16" s="23">
        <f>I13-I15</f>
        <v/>
      </c>
      <c r="J16" s="23">
        <f>J13-J15</f>
        <v/>
      </c>
      <c r="K16" s="23">
        <f>K13-K15</f>
        <v/>
      </c>
      <c r="L16" s="23">
        <f>L13-L15</f>
        <v/>
      </c>
      <c r="M16" s="23">
        <f>M13-M15</f>
        <v/>
      </c>
      <c r="N16" s="23">
        <f>N13-N15</f>
        <v/>
      </c>
      <c r="O16" s="23">
        <f>O13-O15</f>
        <v/>
      </c>
      <c r="P16" s="23">
        <f>P13-P15</f>
        <v/>
      </c>
      <c r="Q16" s="23">
        <f>Q13-Q15</f>
        <v/>
      </c>
      <c r="R16" s="23">
        <f>R13-R15</f>
        <v/>
      </c>
      <c r="S16" s="23">
        <f>S13-S15</f>
        <v/>
      </c>
      <c r="T16" s="23">
        <f>T13-T15</f>
        <v/>
      </c>
      <c r="U16" s="23">
        <f>U13-U15</f>
        <v/>
      </c>
      <c r="V16" s="23">
        <f>V13-V15</f>
        <v/>
      </c>
      <c r="W16" s="23">
        <f>W13-W15</f>
        <v/>
      </c>
      <c r="X16" s="23">
        <f>X13-X15</f>
        <v/>
      </c>
      <c r="Y16" s="23">
        <f>Y13-Y15</f>
        <v/>
      </c>
      <c r="Z16" s="23">
        <f>Z13-Z15</f>
        <v/>
      </c>
      <c r="AA16" s="23">
        <f>AA13-AA15</f>
        <v/>
      </c>
      <c r="AB16" s="23">
        <f>AB13-AB15</f>
        <v/>
      </c>
      <c r="AC16" s="23">
        <f>AC13-AC15</f>
        <v/>
      </c>
    </row>
    <row r="17">
      <c r="A17" s="3" t="inlineStr">
        <is>
          <t>Contas acumuladas</t>
        </is>
      </c>
      <c r="B17" s="3" t="inlineStr">
        <is>
          <t>n</t>
        </is>
      </c>
      <c r="C17" s="23">
        <f>0+C15</f>
        <v/>
      </c>
      <c r="D17" s="23">
        <f>C17+D15</f>
        <v/>
      </c>
      <c r="E17" s="23">
        <f>D17+E15</f>
        <v/>
      </c>
      <c r="F17" s="23">
        <f>E17+F15</f>
        <v/>
      </c>
      <c r="G17" s="23">
        <f>F17+G15</f>
        <v/>
      </c>
      <c r="H17" s="23">
        <f>G17+H15</f>
        <v/>
      </c>
      <c r="I17" s="23">
        <f>H17+I15</f>
        <v/>
      </c>
      <c r="J17" s="23">
        <f>I17+J15</f>
        <v/>
      </c>
      <c r="K17" s="23">
        <f>J17+K15</f>
        <v/>
      </c>
      <c r="L17" s="23">
        <f>K17+L15</f>
        <v/>
      </c>
      <c r="M17" s="23">
        <f>L17+M15</f>
        <v/>
      </c>
      <c r="N17" s="23">
        <f>M17+N15</f>
        <v/>
      </c>
      <c r="O17" s="23">
        <f>N17+O15</f>
        <v/>
      </c>
      <c r="P17" s="23">
        <f>O17+P15</f>
        <v/>
      </c>
      <c r="Q17" s="23">
        <f>P17+Q15</f>
        <v/>
      </c>
      <c r="R17" s="23">
        <f>Q17+R15</f>
        <v/>
      </c>
      <c r="S17" s="23">
        <f>R17+S15</f>
        <v/>
      </c>
      <c r="T17" s="23">
        <f>S17+T15</f>
        <v/>
      </c>
      <c r="U17" s="23">
        <f>T17+U15</f>
        <v/>
      </c>
      <c r="V17" s="23">
        <f>U17+V15</f>
        <v/>
      </c>
      <c r="W17" s="23">
        <f>V17+W15</f>
        <v/>
      </c>
      <c r="X17" s="23">
        <f>W17+X15</f>
        <v/>
      </c>
      <c r="Y17" s="23">
        <f>X17+Y15</f>
        <v/>
      </c>
      <c r="Z17" s="23">
        <f>Y17+Z15</f>
        <v/>
      </c>
      <c r="AA17" s="23">
        <f>Z17+AA15</f>
        <v/>
      </c>
      <c r="AB17" s="23">
        <f>AA17+AB15</f>
        <v/>
      </c>
      <c r="AC17" s="23">
        <f>AB17+AC15</f>
        <v/>
      </c>
    </row>
    <row r="18">
      <c r="A18" s="3" t="inlineStr">
        <is>
          <t>Contas ativas novas</t>
        </is>
      </c>
      <c r="B18" s="3" t="inlineStr">
        <is>
          <t>n</t>
        </is>
      </c>
      <c r="C18" s="23">
        <f>C15*Premissas!$D$49</f>
        <v/>
      </c>
      <c r="D18" s="23">
        <f>D15*Premissas!$D$49</f>
        <v/>
      </c>
      <c r="E18" s="23">
        <f>E15*Premissas!$D$49</f>
        <v/>
      </c>
      <c r="F18" s="23">
        <f>F15*Premissas!$D$49</f>
        <v/>
      </c>
      <c r="G18" s="23">
        <f>G15*Premissas!$D$49</f>
        <v/>
      </c>
      <c r="H18" s="23">
        <f>H15*Premissas!$D$49</f>
        <v/>
      </c>
      <c r="I18" s="23">
        <f>I15*Premissas!$D$49</f>
        <v/>
      </c>
      <c r="J18" s="23">
        <f>J15*Premissas!$D$49</f>
        <v/>
      </c>
      <c r="K18" s="23">
        <f>K15*Premissas!$D$49</f>
        <v/>
      </c>
      <c r="L18" s="23">
        <f>L15*Premissas!$D$49</f>
        <v/>
      </c>
      <c r="M18" s="23">
        <f>M15*Premissas!$D$49</f>
        <v/>
      </c>
      <c r="N18" s="23">
        <f>N15*Premissas!$D$49</f>
        <v/>
      </c>
      <c r="O18" s="23">
        <f>O15*Premissas!$D$49</f>
        <v/>
      </c>
      <c r="P18" s="23">
        <f>P15*Premissas!$D$49</f>
        <v/>
      </c>
      <c r="Q18" s="23">
        <f>Q15*Premissas!$D$49</f>
        <v/>
      </c>
      <c r="R18" s="23">
        <f>R15*Premissas!$D$49</f>
        <v/>
      </c>
      <c r="S18" s="23">
        <f>S15*Premissas!$D$49</f>
        <v/>
      </c>
      <c r="T18" s="23">
        <f>T15*Premissas!$D$49</f>
        <v/>
      </c>
      <c r="U18" s="23">
        <f>U15*Premissas!$D$49</f>
        <v/>
      </c>
      <c r="V18" s="23">
        <f>V15*Premissas!$D$49</f>
        <v/>
      </c>
      <c r="W18" s="23">
        <f>W15*Premissas!$D$49</f>
        <v/>
      </c>
      <c r="X18" s="23">
        <f>X15*Premissas!$D$49</f>
        <v/>
      </c>
      <c r="Y18" s="23">
        <f>Y15*Premissas!$D$49</f>
        <v/>
      </c>
      <c r="Z18" s="23">
        <f>Z15*Premissas!$D$49</f>
        <v/>
      </c>
      <c r="AA18" s="23">
        <f>AA15*Premissas!$D$49</f>
        <v/>
      </c>
      <c r="AB18" s="23">
        <f>AB15*Premissas!$D$49</f>
        <v/>
      </c>
      <c r="AC18" s="23">
        <f>AC15*Premissas!$D$49</f>
        <v/>
      </c>
    </row>
    <row r="19">
      <c r="A19" s="24" t="inlineStr">
        <is>
          <t>Pagantes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</row>
    <row r="20">
      <c r="A20" s="3" t="inlineStr">
        <is>
          <t>Pagantes no início</t>
        </is>
      </c>
      <c r="B20" s="3" t="inlineStr">
        <is>
          <t>n</t>
        </is>
      </c>
      <c r="C20" s="23">
        <f>0</f>
        <v/>
      </c>
      <c r="D20" s="23">
        <f>C23</f>
        <v/>
      </c>
      <c r="E20" s="23">
        <f>D23</f>
        <v/>
      </c>
      <c r="F20" s="23">
        <f>E23</f>
        <v/>
      </c>
      <c r="G20" s="23">
        <f>F23</f>
        <v/>
      </c>
      <c r="H20" s="23">
        <f>G23</f>
        <v/>
      </c>
      <c r="I20" s="23">
        <f>H23</f>
        <v/>
      </c>
      <c r="J20" s="23">
        <f>I23</f>
        <v/>
      </c>
      <c r="K20" s="23">
        <f>J23</f>
        <v/>
      </c>
      <c r="L20" s="23">
        <f>K23</f>
        <v/>
      </c>
      <c r="M20" s="23">
        <f>L23</f>
        <v/>
      </c>
      <c r="N20" s="23">
        <f>M23</f>
        <v/>
      </c>
      <c r="O20" s="23">
        <f>N23</f>
        <v/>
      </c>
      <c r="P20" s="23">
        <f>O23</f>
        <v/>
      </c>
      <c r="Q20" s="23">
        <f>P23</f>
        <v/>
      </c>
      <c r="R20" s="23">
        <f>Q23</f>
        <v/>
      </c>
      <c r="S20" s="23">
        <f>R23</f>
        <v/>
      </c>
      <c r="T20" s="23">
        <f>S23</f>
        <v/>
      </c>
      <c r="U20" s="23">
        <f>T23</f>
        <v/>
      </c>
      <c r="V20" s="23">
        <f>U23</f>
        <v/>
      </c>
      <c r="W20" s="23">
        <f>V23</f>
        <v/>
      </c>
      <c r="X20" s="23">
        <f>W23</f>
        <v/>
      </c>
      <c r="Y20" s="23">
        <f>X23</f>
        <v/>
      </c>
      <c r="Z20" s="23">
        <f>Y23</f>
        <v/>
      </c>
      <c r="AA20" s="23">
        <f>Z23</f>
        <v/>
      </c>
      <c r="AB20" s="23">
        <f>AA23</f>
        <v/>
      </c>
      <c r="AC20" s="23">
        <f>AB23</f>
        <v/>
      </c>
    </row>
    <row r="21">
      <c r="A21" s="3" t="inlineStr">
        <is>
          <t>Novos pagantes</t>
        </is>
      </c>
      <c r="B21" s="3" t="inlineStr">
        <is>
          <t>n1</t>
        </is>
      </c>
      <c r="C21" s="26">
        <f>Calendario!C9*0*Premissas!$D$50+(Calendario!C8-Calendario!C9)*0*Premissas!$D$50</f>
        <v/>
      </c>
      <c r="D21" s="26">
        <f>Calendario!D9*C17*Premissas!$D$50+(Calendario!D8-Calendario!D9)*C15*Premissas!$D$50</f>
        <v/>
      </c>
      <c r="E21" s="26">
        <f>Calendario!E9*D17*Premissas!$D$50+(Calendario!E8-Calendario!E9)*D15*Premissas!$D$50</f>
        <v/>
      </c>
      <c r="F21" s="26">
        <f>Calendario!F9*E17*Premissas!$D$50+(Calendario!F8-Calendario!F9)*E15*Premissas!$D$50</f>
        <v/>
      </c>
      <c r="G21" s="26">
        <f>Calendario!G9*F17*Premissas!$D$50+(Calendario!G8-Calendario!G9)*F15*Premissas!$D$50</f>
        <v/>
      </c>
      <c r="H21" s="26">
        <f>Calendario!H9*G17*Premissas!$D$50+(Calendario!H8-Calendario!H9)*G15*Premissas!$D$50</f>
        <v/>
      </c>
      <c r="I21" s="26">
        <f>Calendario!I9*H17*Premissas!$D$50+(Calendario!I8-Calendario!I9)*H15*Premissas!$D$50</f>
        <v/>
      </c>
      <c r="J21" s="26">
        <f>Calendario!J9*I17*Premissas!$D$50+(Calendario!J8-Calendario!J9)*I15*Premissas!$D$50</f>
        <v/>
      </c>
      <c r="K21" s="26">
        <f>Calendario!K9*J17*Premissas!$D$50+(Calendario!K8-Calendario!K9)*J15*Premissas!$D$50</f>
        <v/>
      </c>
      <c r="L21" s="26">
        <f>Calendario!L9*K17*Premissas!$D$50+(Calendario!L8-Calendario!L9)*K15*Premissas!$D$50</f>
        <v/>
      </c>
      <c r="M21" s="26">
        <f>Calendario!M9*L17*Premissas!$D$50+(Calendario!M8-Calendario!M9)*L15*Premissas!$D$50</f>
        <v/>
      </c>
      <c r="N21" s="26">
        <f>Calendario!N9*M17*Premissas!$D$50+(Calendario!N8-Calendario!N9)*M15*Premissas!$D$50</f>
        <v/>
      </c>
      <c r="O21" s="26">
        <f>Calendario!O9*N17*Premissas!$D$50+(Calendario!O8-Calendario!O9)*N15*Premissas!$D$50</f>
        <v/>
      </c>
      <c r="P21" s="26">
        <f>Calendario!P9*O17*Premissas!$D$50+(Calendario!P8-Calendario!P9)*O15*Premissas!$D$50</f>
        <v/>
      </c>
      <c r="Q21" s="26">
        <f>Calendario!Q9*P17*Premissas!$D$50+(Calendario!Q8-Calendario!Q9)*P15*Premissas!$D$50</f>
        <v/>
      </c>
      <c r="R21" s="26">
        <f>Calendario!R9*Q17*Premissas!$D$50+(Calendario!R8-Calendario!R9)*Q15*Premissas!$D$50</f>
        <v/>
      </c>
      <c r="S21" s="26">
        <f>Calendario!S9*R17*Premissas!$D$50+(Calendario!S8-Calendario!S9)*R15*Premissas!$D$50</f>
        <v/>
      </c>
      <c r="T21" s="26">
        <f>Calendario!T9*S17*Premissas!$D$50+(Calendario!T8-Calendario!T9)*S15*Premissas!$D$50</f>
        <v/>
      </c>
      <c r="U21" s="26">
        <f>Calendario!U9*T17*Premissas!$D$50+(Calendario!U8-Calendario!U9)*T15*Premissas!$D$50</f>
        <v/>
      </c>
      <c r="V21" s="26">
        <f>Calendario!V9*U17*Premissas!$D$50+(Calendario!V8-Calendario!V9)*U15*Premissas!$D$50</f>
        <v/>
      </c>
      <c r="W21" s="26">
        <f>Calendario!W9*V17*Premissas!$D$50+(Calendario!W8-Calendario!W9)*V15*Premissas!$D$50</f>
        <v/>
      </c>
      <c r="X21" s="26">
        <f>Calendario!X9*W17*Premissas!$D$50+(Calendario!X8-Calendario!X9)*W15*Premissas!$D$50</f>
        <v/>
      </c>
      <c r="Y21" s="26">
        <f>Calendario!Y9*X17*Premissas!$D$50+(Calendario!Y8-Calendario!Y9)*X15*Premissas!$D$50</f>
        <v/>
      </c>
      <c r="Z21" s="26">
        <f>Calendario!Z9*Y17*Premissas!$D$50+(Calendario!Z8-Calendario!Z9)*Y15*Premissas!$D$50</f>
        <v/>
      </c>
      <c r="AA21" s="26">
        <f>Calendario!AA9*Z17*Premissas!$D$50+(Calendario!AA8-Calendario!AA9)*Z15*Premissas!$D$50</f>
        <v/>
      </c>
      <c r="AB21" s="26">
        <f>Calendario!AB9*AA17*Premissas!$D$50+(Calendario!AB8-Calendario!AB9)*AA15*Premissas!$D$50</f>
        <v/>
      </c>
      <c r="AC21" s="26">
        <f>Calendario!AC9*AB17*Premissas!$D$50+(Calendario!AC8-Calendario!AC9)*AB15*Premissas!$D$50</f>
        <v/>
      </c>
    </row>
    <row r="22">
      <c r="A22" s="3" t="inlineStr">
        <is>
          <t>Cancelamentos</t>
        </is>
      </c>
      <c r="B22" s="3" t="inlineStr">
        <is>
          <t>n1</t>
        </is>
      </c>
      <c r="C22" s="26">
        <f>C20*Premissas!$D$51</f>
        <v/>
      </c>
      <c r="D22" s="26">
        <f>D20*Premissas!$D$51</f>
        <v/>
      </c>
      <c r="E22" s="26">
        <f>E20*Premissas!$D$51</f>
        <v/>
      </c>
      <c r="F22" s="26">
        <f>F20*Premissas!$D$51</f>
        <v/>
      </c>
      <c r="G22" s="26">
        <f>G20*Premissas!$D$51</f>
        <v/>
      </c>
      <c r="H22" s="26">
        <f>H20*Premissas!$D$51</f>
        <v/>
      </c>
      <c r="I22" s="26">
        <f>I20*Premissas!$D$51</f>
        <v/>
      </c>
      <c r="J22" s="26">
        <f>J20*Premissas!$D$51</f>
        <v/>
      </c>
      <c r="K22" s="26">
        <f>K20*Premissas!$D$51</f>
        <v/>
      </c>
      <c r="L22" s="26">
        <f>L20*Premissas!$D$51</f>
        <v/>
      </c>
      <c r="M22" s="26">
        <f>M20*Premissas!$D$51</f>
        <v/>
      </c>
      <c r="N22" s="26">
        <f>N20*Premissas!$D$51</f>
        <v/>
      </c>
      <c r="O22" s="26">
        <f>O20*Premissas!$D$51</f>
        <v/>
      </c>
      <c r="P22" s="26">
        <f>P20*Premissas!$D$51</f>
        <v/>
      </c>
      <c r="Q22" s="26">
        <f>Q20*Premissas!$D$51</f>
        <v/>
      </c>
      <c r="R22" s="26">
        <f>R20*Premissas!$D$51</f>
        <v/>
      </c>
      <c r="S22" s="26">
        <f>S20*Premissas!$D$51</f>
        <v/>
      </c>
      <c r="T22" s="26">
        <f>T20*Premissas!$D$51</f>
        <v/>
      </c>
      <c r="U22" s="26">
        <f>U20*Premissas!$D$51</f>
        <v/>
      </c>
      <c r="V22" s="26">
        <f>V20*Premissas!$D$51</f>
        <v/>
      </c>
      <c r="W22" s="26">
        <f>W20*Premissas!$D$51</f>
        <v/>
      </c>
      <c r="X22" s="26">
        <f>X20*Premissas!$D$51</f>
        <v/>
      </c>
      <c r="Y22" s="26">
        <f>Y20*Premissas!$D$51</f>
        <v/>
      </c>
      <c r="Z22" s="26">
        <f>Z20*Premissas!$D$51</f>
        <v/>
      </c>
      <c r="AA22" s="26">
        <f>AA20*Premissas!$D$51</f>
        <v/>
      </c>
      <c r="AB22" s="26">
        <f>AB20*Premissas!$D$51</f>
        <v/>
      </c>
      <c r="AC22" s="26">
        <f>AC20*Premissas!$D$51</f>
        <v/>
      </c>
    </row>
    <row r="23">
      <c r="A23" s="27" t="inlineStr">
        <is>
          <t>Pagantes no fim</t>
        </is>
      </c>
      <c r="B23" s="3" t="inlineStr">
        <is>
          <t>n1</t>
        </is>
      </c>
      <c r="C23" s="28">
        <f>C20+C21-C22</f>
        <v/>
      </c>
      <c r="D23" s="28">
        <f>D20+D21-D22</f>
        <v/>
      </c>
      <c r="E23" s="28">
        <f>E20+E21-E22</f>
        <v/>
      </c>
      <c r="F23" s="28">
        <f>F20+F21-F22</f>
        <v/>
      </c>
      <c r="G23" s="28">
        <f>G20+G21-G22</f>
        <v/>
      </c>
      <c r="H23" s="28">
        <f>H20+H21-H22</f>
        <v/>
      </c>
      <c r="I23" s="28">
        <f>I20+I21-I22</f>
        <v/>
      </c>
      <c r="J23" s="28">
        <f>J20+J21-J22</f>
        <v/>
      </c>
      <c r="K23" s="28">
        <f>K20+K21-K22</f>
        <v/>
      </c>
      <c r="L23" s="28">
        <f>L20+L21-L22</f>
        <v/>
      </c>
      <c r="M23" s="28">
        <f>M20+M21-M22</f>
        <v/>
      </c>
      <c r="N23" s="28">
        <f>N20+N21-N22</f>
        <v/>
      </c>
      <c r="O23" s="28">
        <f>O20+O21-O22</f>
        <v/>
      </c>
      <c r="P23" s="28">
        <f>P20+P21-P22</f>
        <v/>
      </c>
      <c r="Q23" s="28">
        <f>Q20+Q21-Q22</f>
        <v/>
      </c>
      <c r="R23" s="28">
        <f>R20+R21-R22</f>
        <v/>
      </c>
      <c r="S23" s="28">
        <f>S20+S21-S22</f>
        <v/>
      </c>
      <c r="T23" s="28">
        <f>T20+T21-T22</f>
        <v/>
      </c>
      <c r="U23" s="28">
        <f>U20+U21-U22</f>
        <v/>
      </c>
      <c r="V23" s="28">
        <f>V20+V21-V22</f>
        <v/>
      </c>
      <c r="W23" s="28">
        <f>W20+W21-W22</f>
        <v/>
      </c>
      <c r="X23" s="28">
        <f>X20+X21-X22</f>
        <v/>
      </c>
      <c r="Y23" s="28">
        <f>Y20+Y21-Y22</f>
        <v/>
      </c>
      <c r="Z23" s="28">
        <f>Z20+Z21-Z22</f>
        <v/>
      </c>
      <c r="AA23" s="28">
        <f>AA20+AA21-AA22</f>
        <v/>
      </c>
      <c r="AB23" s="28">
        <f>AB20+AB21-AB22</f>
        <v/>
      </c>
      <c r="AC23" s="28">
        <f>AC20+AC21-AC22</f>
        <v/>
      </c>
    </row>
    <row r="24">
      <c r="A24" s="3" t="inlineStr">
        <is>
          <t>Pagantes médios</t>
        </is>
      </c>
      <c r="B24" s="3" t="inlineStr">
        <is>
          <t>n1</t>
        </is>
      </c>
      <c r="C24" s="26">
        <f>(C20+C23)/2</f>
        <v/>
      </c>
      <c r="D24" s="26">
        <f>(D20+D23)/2</f>
        <v/>
      </c>
      <c r="E24" s="26">
        <f>(E20+E23)/2</f>
        <v/>
      </c>
      <c r="F24" s="26">
        <f>(F20+F23)/2</f>
        <v/>
      </c>
      <c r="G24" s="26">
        <f>(G20+G23)/2</f>
        <v/>
      </c>
      <c r="H24" s="26">
        <f>(H20+H23)/2</f>
        <v/>
      </c>
      <c r="I24" s="26">
        <f>(I20+I23)/2</f>
        <v/>
      </c>
      <c r="J24" s="26">
        <f>(J20+J23)/2</f>
        <v/>
      </c>
      <c r="K24" s="26">
        <f>(K20+K23)/2</f>
        <v/>
      </c>
      <c r="L24" s="26">
        <f>(L20+L23)/2</f>
        <v/>
      </c>
      <c r="M24" s="26">
        <f>(M20+M23)/2</f>
        <v/>
      </c>
      <c r="N24" s="26">
        <f>(N20+N23)/2</f>
        <v/>
      </c>
      <c r="O24" s="26">
        <f>(O20+O23)/2</f>
        <v/>
      </c>
      <c r="P24" s="26">
        <f>(P20+P23)/2</f>
        <v/>
      </c>
      <c r="Q24" s="26">
        <f>(Q20+Q23)/2</f>
        <v/>
      </c>
      <c r="R24" s="26">
        <f>(R20+R23)/2</f>
        <v/>
      </c>
      <c r="S24" s="26">
        <f>(S20+S23)/2</f>
        <v/>
      </c>
      <c r="T24" s="26">
        <f>(T20+T23)/2</f>
        <v/>
      </c>
      <c r="U24" s="26">
        <f>(U20+U23)/2</f>
        <v/>
      </c>
      <c r="V24" s="26">
        <f>(V20+V23)/2</f>
        <v/>
      </c>
      <c r="W24" s="26">
        <f>(W20+W23)/2</f>
        <v/>
      </c>
      <c r="X24" s="26">
        <f>(X20+X23)/2</f>
        <v/>
      </c>
      <c r="Y24" s="26">
        <f>(Y20+Y23)/2</f>
        <v/>
      </c>
      <c r="Z24" s="26">
        <f>(Z20+Z23)/2</f>
        <v/>
      </c>
      <c r="AA24" s="26">
        <f>(AA20+AA23)/2</f>
        <v/>
      </c>
      <c r="AB24" s="26">
        <f>(AB20+AB23)/2</f>
        <v/>
      </c>
      <c r="AC24" s="26">
        <f>(AC20+AC23)/2</f>
        <v/>
      </c>
    </row>
    <row r="25">
      <c r="A25" s="3" t="inlineStr">
        <is>
          <t>no Solo</t>
        </is>
      </c>
      <c r="B25" s="3" t="inlineStr">
        <is>
          <t>n1</t>
        </is>
      </c>
      <c r="C25" s="26">
        <f>C24*Premissas!$D$52</f>
        <v/>
      </c>
      <c r="D25" s="26">
        <f>D24*Premissas!$D$52</f>
        <v/>
      </c>
      <c r="E25" s="26">
        <f>E24*Premissas!$D$52</f>
        <v/>
      </c>
      <c r="F25" s="26">
        <f>F24*Premissas!$D$52</f>
        <v/>
      </c>
      <c r="G25" s="26">
        <f>G24*Premissas!$D$52</f>
        <v/>
      </c>
      <c r="H25" s="26">
        <f>H24*Premissas!$D$52</f>
        <v/>
      </c>
      <c r="I25" s="26">
        <f>I24*Premissas!$D$52</f>
        <v/>
      </c>
      <c r="J25" s="26">
        <f>J24*Premissas!$D$52</f>
        <v/>
      </c>
      <c r="K25" s="26">
        <f>K24*Premissas!$D$52</f>
        <v/>
      </c>
      <c r="L25" s="26">
        <f>L24*Premissas!$D$52</f>
        <v/>
      </c>
      <c r="M25" s="26">
        <f>M24*Premissas!$D$52</f>
        <v/>
      </c>
      <c r="N25" s="26">
        <f>N24*Premissas!$D$52</f>
        <v/>
      </c>
      <c r="O25" s="26">
        <f>O24*Premissas!$D$52</f>
        <v/>
      </c>
      <c r="P25" s="26">
        <f>P24*Premissas!$D$52</f>
        <v/>
      </c>
      <c r="Q25" s="26">
        <f>Q24*Premissas!$D$52</f>
        <v/>
      </c>
      <c r="R25" s="26">
        <f>R24*Premissas!$D$52</f>
        <v/>
      </c>
      <c r="S25" s="26">
        <f>S24*Premissas!$D$52</f>
        <v/>
      </c>
      <c r="T25" s="26">
        <f>T24*Premissas!$D$52</f>
        <v/>
      </c>
      <c r="U25" s="26">
        <f>U24*Premissas!$D$52</f>
        <v/>
      </c>
      <c r="V25" s="26">
        <f>V24*Premissas!$D$52</f>
        <v/>
      </c>
      <c r="W25" s="26">
        <f>W24*Premissas!$D$52</f>
        <v/>
      </c>
      <c r="X25" s="26">
        <f>X24*Premissas!$D$52</f>
        <v/>
      </c>
      <c r="Y25" s="26">
        <f>Y24*Premissas!$D$52</f>
        <v/>
      </c>
      <c r="Z25" s="26">
        <f>Z24*Premissas!$D$52</f>
        <v/>
      </c>
      <c r="AA25" s="26">
        <f>AA24*Premissas!$D$52</f>
        <v/>
      </c>
      <c r="AB25" s="26">
        <f>AB24*Premissas!$D$52</f>
        <v/>
      </c>
      <c r="AC25" s="26">
        <f>AC24*Premissas!$D$52</f>
        <v/>
      </c>
    </row>
    <row r="26">
      <c r="A26" s="3" t="inlineStr">
        <is>
          <t>no Equipe</t>
        </is>
      </c>
      <c r="B26" s="3" t="inlineStr">
        <is>
          <t>n1</t>
        </is>
      </c>
      <c r="C26" s="26">
        <f>C24-C25</f>
        <v/>
      </c>
      <c r="D26" s="26">
        <f>D24-D25</f>
        <v/>
      </c>
      <c r="E26" s="26">
        <f>E24-E25</f>
        <v/>
      </c>
      <c r="F26" s="26">
        <f>F24-F25</f>
        <v/>
      </c>
      <c r="G26" s="26">
        <f>G24-G25</f>
        <v/>
      </c>
      <c r="H26" s="26">
        <f>H24-H25</f>
        <v/>
      </c>
      <c r="I26" s="26">
        <f>I24-I25</f>
        <v/>
      </c>
      <c r="J26" s="26">
        <f>J24-J25</f>
        <v/>
      </c>
      <c r="K26" s="26">
        <f>K24-K25</f>
        <v/>
      </c>
      <c r="L26" s="26">
        <f>L24-L25</f>
        <v/>
      </c>
      <c r="M26" s="26">
        <f>M24-M25</f>
        <v/>
      </c>
      <c r="N26" s="26">
        <f>N24-N25</f>
        <v/>
      </c>
      <c r="O26" s="26">
        <f>O24-O25</f>
        <v/>
      </c>
      <c r="P26" s="26">
        <f>P24-P25</f>
        <v/>
      </c>
      <c r="Q26" s="26">
        <f>Q24-Q25</f>
        <v/>
      </c>
      <c r="R26" s="26">
        <f>R24-R25</f>
        <v/>
      </c>
      <c r="S26" s="26">
        <f>S24-S25</f>
        <v/>
      </c>
      <c r="T26" s="26">
        <f>T24-T25</f>
        <v/>
      </c>
      <c r="U26" s="26">
        <f>U24-U25</f>
        <v/>
      </c>
      <c r="V26" s="26">
        <f>V24-V25</f>
        <v/>
      </c>
      <c r="W26" s="26">
        <f>W24-W25</f>
        <v/>
      </c>
      <c r="X26" s="26">
        <f>X24-X25</f>
        <v/>
      </c>
      <c r="Y26" s="26">
        <f>Y24-Y25</f>
        <v/>
      </c>
      <c r="Z26" s="26">
        <f>Z24-Z25</f>
        <v/>
      </c>
      <c r="AA26" s="26">
        <f>AA24-AA25</f>
        <v/>
      </c>
      <c r="AB26" s="26">
        <f>AB24-AB25</f>
        <v/>
      </c>
      <c r="AC26" s="26">
        <f>AC24-AC25</f>
        <v/>
      </c>
    </row>
    <row r="27">
      <c r="A27" s="24" t="inlineStr">
        <is>
          <t>Receita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</row>
    <row r="28">
      <c r="A28" s="3" t="inlineStr">
        <is>
          <t>Receita bruta</t>
        </is>
      </c>
      <c r="B28" s="3" t="inlineStr">
        <is>
          <t>brl</t>
        </is>
      </c>
      <c r="C28" s="29">
        <f>C25*Premissas!$C$6+C26*Premissas!$C$7</f>
        <v/>
      </c>
      <c r="D28" s="29">
        <f>D25*Premissas!$C$6+D26*Premissas!$C$7</f>
        <v/>
      </c>
      <c r="E28" s="29">
        <f>E25*Premissas!$C$6+E26*Premissas!$C$7</f>
        <v/>
      </c>
      <c r="F28" s="29">
        <f>F25*Premissas!$C$6+F26*Premissas!$C$7</f>
        <v/>
      </c>
      <c r="G28" s="29">
        <f>G25*Premissas!$C$6+G26*Premissas!$C$7</f>
        <v/>
      </c>
      <c r="H28" s="29">
        <f>H25*Premissas!$C$6+H26*Premissas!$C$7</f>
        <v/>
      </c>
      <c r="I28" s="29">
        <f>I25*Premissas!$C$6+I26*Premissas!$C$7</f>
        <v/>
      </c>
      <c r="J28" s="29">
        <f>J25*Premissas!$C$6+J26*Premissas!$C$7</f>
        <v/>
      </c>
      <c r="K28" s="29">
        <f>K25*Premissas!$C$6+K26*Premissas!$C$7</f>
        <v/>
      </c>
      <c r="L28" s="29">
        <f>L25*Premissas!$C$6+L26*Premissas!$C$7</f>
        <v/>
      </c>
      <c r="M28" s="29">
        <f>M25*Premissas!$C$6+M26*Premissas!$C$7</f>
        <v/>
      </c>
      <c r="N28" s="29">
        <f>N25*Premissas!$C$6+N26*Premissas!$C$7</f>
        <v/>
      </c>
      <c r="O28" s="29">
        <f>O25*Premissas!$C$6+O26*Premissas!$C$7</f>
        <v/>
      </c>
      <c r="P28" s="29">
        <f>P25*Premissas!$C$6+P26*Premissas!$C$7</f>
        <v/>
      </c>
      <c r="Q28" s="29">
        <f>Q25*Premissas!$C$6+Q26*Premissas!$C$7</f>
        <v/>
      </c>
      <c r="R28" s="29">
        <f>R25*Premissas!$C$6+R26*Premissas!$C$7</f>
        <v/>
      </c>
      <c r="S28" s="29">
        <f>S25*Premissas!$C$6+S26*Premissas!$C$7</f>
        <v/>
      </c>
      <c r="T28" s="29">
        <f>T25*Premissas!$C$6+T26*Premissas!$C$7</f>
        <v/>
      </c>
      <c r="U28" s="29">
        <f>U25*Premissas!$C$6+U26*Premissas!$C$7</f>
        <v/>
      </c>
      <c r="V28" s="29">
        <f>V25*Premissas!$C$6+V26*Premissas!$C$7</f>
        <v/>
      </c>
      <c r="W28" s="29">
        <f>W25*Premissas!$C$6+W26*Premissas!$C$7</f>
        <v/>
      </c>
      <c r="X28" s="29">
        <f>X25*Premissas!$C$6+X26*Premissas!$C$7</f>
        <v/>
      </c>
      <c r="Y28" s="29">
        <f>Y25*Premissas!$C$6+Y26*Premissas!$C$7</f>
        <v/>
      </c>
      <c r="Z28" s="29">
        <f>Z25*Premissas!$C$6+Z26*Premissas!$C$7</f>
        <v/>
      </c>
      <c r="AA28" s="29">
        <f>AA25*Premissas!$C$6+AA26*Premissas!$C$7</f>
        <v/>
      </c>
      <c r="AB28" s="29">
        <f>AB25*Premissas!$C$6+AB26*Premissas!$C$7</f>
        <v/>
      </c>
      <c r="AC28" s="29">
        <f>AC25*Premissas!$C$6+AC26*Premissas!$C$7</f>
        <v/>
      </c>
    </row>
    <row r="29">
      <c r="A29" s="3" t="inlineStr">
        <is>
          <t>Taxa de pagamento</t>
        </is>
      </c>
      <c r="B29" s="3" t="inlineStr">
        <is>
          <t>brl</t>
        </is>
      </c>
      <c r="C29" s="29">
        <f>C28*(Premissas!$C$8*Premissas!$C$9+(1-Premissas!$C$8)*Premissas!$C$10)</f>
        <v/>
      </c>
      <c r="D29" s="29">
        <f>D28*(Premissas!$C$8*Premissas!$C$9+(1-Premissas!$C$8)*Premissas!$C$10)</f>
        <v/>
      </c>
      <c r="E29" s="29">
        <f>E28*(Premissas!$C$8*Premissas!$C$9+(1-Premissas!$C$8)*Premissas!$C$10)</f>
        <v/>
      </c>
      <c r="F29" s="29">
        <f>F28*(Premissas!$C$8*Premissas!$C$9+(1-Premissas!$C$8)*Premissas!$C$10)</f>
        <v/>
      </c>
      <c r="G29" s="29">
        <f>G28*(Premissas!$C$8*Premissas!$C$9+(1-Premissas!$C$8)*Premissas!$C$10)</f>
        <v/>
      </c>
      <c r="H29" s="29">
        <f>H28*(Premissas!$C$8*Premissas!$C$9+(1-Premissas!$C$8)*Premissas!$C$10)</f>
        <v/>
      </c>
      <c r="I29" s="29">
        <f>I28*(Premissas!$C$8*Premissas!$C$9+(1-Premissas!$C$8)*Premissas!$C$10)</f>
        <v/>
      </c>
      <c r="J29" s="29">
        <f>J28*(Premissas!$C$8*Premissas!$C$9+(1-Premissas!$C$8)*Premissas!$C$10)</f>
        <v/>
      </c>
      <c r="K29" s="29">
        <f>K28*(Premissas!$C$8*Premissas!$C$9+(1-Premissas!$C$8)*Premissas!$C$10)</f>
        <v/>
      </c>
      <c r="L29" s="29">
        <f>L28*(Premissas!$C$8*Premissas!$C$9+(1-Premissas!$C$8)*Premissas!$C$10)</f>
        <v/>
      </c>
      <c r="M29" s="29">
        <f>M28*(Premissas!$C$8*Premissas!$C$9+(1-Premissas!$C$8)*Premissas!$C$10)</f>
        <v/>
      </c>
      <c r="N29" s="29">
        <f>N28*(Premissas!$C$8*Premissas!$C$9+(1-Premissas!$C$8)*Premissas!$C$10)</f>
        <v/>
      </c>
      <c r="O29" s="29">
        <f>O28*(Premissas!$C$8*Premissas!$C$9+(1-Premissas!$C$8)*Premissas!$C$10)</f>
        <v/>
      </c>
      <c r="P29" s="29">
        <f>P28*(Premissas!$C$8*Premissas!$C$9+(1-Premissas!$C$8)*Premissas!$C$10)</f>
        <v/>
      </c>
      <c r="Q29" s="29">
        <f>Q28*(Premissas!$C$8*Premissas!$C$9+(1-Premissas!$C$8)*Premissas!$C$10)</f>
        <v/>
      </c>
      <c r="R29" s="29">
        <f>R28*(Premissas!$C$8*Premissas!$C$9+(1-Premissas!$C$8)*Premissas!$C$10)</f>
        <v/>
      </c>
      <c r="S29" s="29">
        <f>S28*(Premissas!$C$8*Premissas!$C$9+(1-Premissas!$C$8)*Premissas!$C$10)</f>
        <v/>
      </c>
      <c r="T29" s="29">
        <f>T28*(Premissas!$C$8*Premissas!$C$9+(1-Premissas!$C$8)*Premissas!$C$10)</f>
        <v/>
      </c>
      <c r="U29" s="29">
        <f>U28*(Premissas!$C$8*Premissas!$C$9+(1-Premissas!$C$8)*Premissas!$C$10)</f>
        <v/>
      </c>
      <c r="V29" s="29">
        <f>V28*(Premissas!$C$8*Premissas!$C$9+(1-Premissas!$C$8)*Premissas!$C$10)</f>
        <v/>
      </c>
      <c r="W29" s="29">
        <f>W28*(Premissas!$C$8*Premissas!$C$9+(1-Premissas!$C$8)*Premissas!$C$10)</f>
        <v/>
      </c>
      <c r="X29" s="29">
        <f>X28*(Premissas!$C$8*Premissas!$C$9+(1-Premissas!$C$8)*Premissas!$C$10)</f>
        <v/>
      </c>
      <c r="Y29" s="29">
        <f>Y28*(Premissas!$C$8*Premissas!$C$9+(1-Premissas!$C$8)*Premissas!$C$10)</f>
        <v/>
      </c>
      <c r="Z29" s="29">
        <f>Z28*(Premissas!$C$8*Premissas!$C$9+(1-Premissas!$C$8)*Premissas!$C$10)</f>
        <v/>
      </c>
      <c r="AA29" s="29">
        <f>AA28*(Premissas!$C$8*Premissas!$C$9+(1-Premissas!$C$8)*Premissas!$C$10)</f>
        <v/>
      </c>
      <c r="AB29" s="29">
        <f>AB28*(Premissas!$C$8*Premissas!$C$9+(1-Premissas!$C$8)*Premissas!$C$10)</f>
        <v/>
      </c>
      <c r="AC29" s="29">
        <f>AC28*(Premissas!$C$8*Premissas!$C$9+(1-Premissas!$C$8)*Premissas!$C$10)</f>
        <v/>
      </c>
    </row>
    <row r="30">
      <c r="A30" s="3" t="inlineStr">
        <is>
          <t>Simples Nacional</t>
        </is>
      </c>
      <c r="B30" s="3" t="inlineStr">
        <is>
          <t>brl</t>
        </is>
      </c>
      <c r="C30" s="29">
        <f>C28*Premissas!$C$11</f>
        <v/>
      </c>
      <c r="D30" s="29">
        <f>D28*Premissas!$C$11</f>
        <v/>
      </c>
      <c r="E30" s="29">
        <f>E28*Premissas!$C$11</f>
        <v/>
      </c>
      <c r="F30" s="29">
        <f>F28*Premissas!$C$11</f>
        <v/>
      </c>
      <c r="G30" s="29">
        <f>G28*Premissas!$C$11</f>
        <v/>
      </c>
      <c r="H30" s="29">
        <f>H28*Premissas!$C$11</f>
        <v/>
      </c>
      <c r="I30" s="29">
        <f>I28*Premissas!$C$11</f>
        <v/>
      </c>
      <c r="J30" s="29">
        <f>J28*Premissas!$C$11</f>
        <v/>
      </c>
      <c r="K30" s="29">
        <f>K28*Premissas!$C$11</f>
        <v/>
      </c>
      <c r="L30" s="29">
        <f>L28*Premissas!$C$11</f>
        <v/>
      </c>
      <c r="M30" s="29">
        <f>M28*Premissas!$C$11</f>
        <v/>
      </c>
      <c r="N30" s="29">
        <f>N28*Premissas!$C$11</f>
        <v/>
      </c>
      <c r="O30" s="29">
        <f>O28*Premissas!$C$11</f>
        <v/>
      </c>
      <c r="P30" s="29">
        <f>P28*Premissas!$C$11</f>
        <v/>
      </c>
      <c r="Q30" s="29">
        <f>Q28*Premissas!$C$11</f>
        <v/>
      </c>
      <c r="R30" s="29">
        <f>R28*Premissas!$C$11</f>
        <v/>
      </c>
      <c r="S30" s="29">
        <f>S28*Premissas!$C$11</f>
        <v/>
      </c>
      <c r="T30" s="29">
        <f>T28*Premissas!$C$11</f>
        <v/>
      </c>
      <c r="U30" s="29">
        <f>U28*Premissas!$C$11</f>
        <v/>
      </c>
      <c r="V30" s="29">
        <f>V28*Premissas!$C$11</f>
        <v/>
      </c>
      <c r="W30" s="29">
        <f>W28*Premissas!$C$11</f>
        <v/>
      </c>
      <c r="X30" s="29">
        <f>X28*Premissas!$C$11</f>
        <v/>
      </c>
      <c r="Y30" s="29">
        <f>Y28*Premissas!$C$11</f>
        <v/>
      </c>
      <c r="Z30" s="29">
        <f>Z28*Premissas!$C$11</f>
        <v/>
      </c>
      <c r="AA30" s="29">
        <f>AA28*Premissas!$C$11</f>
        <v/>
      </c>
      <c r="AB30" s="29">
        <f>AB28*Premissas!$C$11</f>
        <v/>
      </c>
      <c r="AC30" s="29">
        <f>AC28*Premissas!$C$11</f>
        <v/>
      </c>
    </row>
    <row r="31">
      <c r="A31" s="27" t="inlineStr">
        <is>
          <t>Receita líquida</t>
        </is>
      </c>
      <c r="B31" s="3" t="inlineStr">
        <is>
          <t>brl</t>
        </is>
      </c>
      <c r="C31" s="30">
        <f>C28-C29-C30</f>
        <v/>
      </c>
      <c r="D31" s="30">
        <f>D28-D29-D30</f>
        <v/>
      </c>
      <c r="E31" s="30">
        <f>E28-E29-E30</f>
        <v/>
      </c>
      <c r="F31" s="30">
        <f>F28-F29-F30</f>
        <v/>
      </c>
      <c r="G31" s="30">
        <f>G28-G29-G30</f>
        <v/>
      </c>
      <c r="H31" s="30">
        <f>H28-H29-H30</f>
        <v/>
      </c>
      <c r="I31" s="30">
        <f>I28-I29-I30</f>
        <v/>
      </c>
      <c r="J31" s="30">
        <f>J28-J29-J30</f>
        <v/>
      </c>
      <c r="K31" s="30">
        <f>K28-K29-K30</f>
        <v/>
      </c>
      <c r="L31" s="30">
        <f>L28-L29-L30</f>
        <v/>
      </c>
      <c r="M31" s="30">
        <f>M28-M29-M30</f>
        <v/>
      </c>
      <c r="N31" s="30">
        <f>N28-N29-N30</f>
        <v/>
      </c>
      <c r="O31" s="30">
        <f>O28-O29-O30</f>
        <v/>
      </c>
      <c r="P31" s="30">
        <f>P28-P29-P30</f>
        <v/>
      </c>
      <c r="Q31" s="30">
        <f>Q28-Q29-Q30</f>
        <v/>
      </c>
      <c r="R31" s="30">
        <f>R28-R29-R30</f>
        <v/>
      </c>
      <c r="S31" s="30">
        <f>S28-S29-S30</f>
        <v/>
      </c>
      <c r="T31" s="30">
        <f>T28-T29-T30</f>
        <v/>
      </c>
      <c r="U31" s="30">
        <f>U28-U29-U30</f>
        <v/>
      </c>
      <c r="V31" s="30">
        <f>V28-V29-V30</f>
        <v/>
      </c>
      <c r="W31" s="30">
        <f>W28-W29-W30</f>
        <v/>
      </c>
      <c r="X31" s="30">
        <f>X28-X29-X30</f>
        <v/>
      </c>
      <c r="Y31" s="30">
        <f>Y28-Y29-Y30</f>
        <v/>
      </c>
      <c r="Z31" s="30">
        <f>Z28-Z29-Z30</f>
        <v/>
      </c>
      <c r="AA31" s="30">
        <f>AA28-AA29-AA30</f>
        <v/>
      </c>
      <c r="AB31" s="30">
        <f>AB28-AB29-AB30</f>
        <v/>
      </c>
      <c r="AC31" s="30">
        <f>AC28-AC29-AC30</f>
        <v/>
      </c>
    </row>
    <row r="32">
      <c r="A32" s="24" t="inlineStr">
        <is>
          <t>Custos em dinheiro</t>
        </is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</row>
    <row r="33">
      <c r="A33" s="3" t="inlineStr">
        <is>
          <t>Supabase</t>
        </is>
      </c>
      <c r="B33" s="3" t="inlineStr">
        <is>
          <t>brl</t>
        </is>
      </c>
      <c r="C33" s="29">
        <f>(Premissas!$C$12+IF(C17&gt;Premissas!$C$29,Premissas!$C$30,IF(C17&gt;Premissas!$C$27,Premissas!$C$28,IF(C17&gt;Premissas!$C$25,Premissas!$C$26,0))))*Premissas!$C$5</f>
        <v/>
      </c>
      <c r="D33" s="29">
        <f>(Premissas!$C$12+IF(D17&gt;Premissas!$C$29,Premissas!$C$30,IF(D17&gt;Premissas!$C$27,Premissas!$C$28,IF(D17&gt;Premissas!$C$25,Premissas!$C$26,0))))*Premissas!$C$5</f>
        <v/>
      </c>
      <c r="E33" s="29">
        <f>(Premissas!$C$12+IF(E17&gt;Premissas!$C$29,Premissas!$C$30,IF(E17&gt;Premissas!$C$27,Premissas!$C$28,IF(E17&gt;Premissas!$C$25,Premissas!$C$26,0))))*Premissas!$C$5</f>
        <v/>
      </c>
      <c r="F33" s="29">
        <f>(Premissas!$C$12+IF(F17&gt;Premissas!$C$29,Premissas!$C$30,IF(F17&gt;Premissas!$C$27,Premissas!$C$28,IF(F17&gt;Premissas!$C$25,Premissas!$C$26,0))))*Premissas!$C$5</f>
        <v/>
      </c>
      <c r="G33" s="29">
        <f>(Premissas!$C$12+IF(G17&gt;Premissas!$C$29,Premissas!$C$30,IF(G17&gt;Premissas!$C$27,Premissas!$C$28,IF(G17&gt;Premissas!$C$25,Premissas!$C$26,0))))*Premissas!$C$5</f>
        <v/>
      </c>
      <c r="H33" s="29">
        <f>(Premissas!$C$12+IF(H17&gt;Premissas!$C$29,Premissas!$C$30,IF(H17&gt;Premissas!$C$27,Premissas!$C$28,IF(H17&gt;Premissas!$C$25,Premissas!$C$26,0))))*Premissas!$C$5</f>
        <v/>
      </c>
      <c r="I33" s="29">
        <f>(Premissas!$C$12+IF(I17&gt;Premissas!$C$29,Premissas!$C$30,IF(I17&gt;Premissas!$C$27,Premissas!$C$28,IF(I17&gt;Premissas!$C$25,Premissas!$C$26,0))))*Premissas!$C$5</f>
        <v/>
      </c>
      <c r="J33" s="29">
        <f>(Premissas!$C$12+IF(J17&gt;Premissas!$C$29,Premissas!$C$30,IF(J17&gt;Premissas!$C$27,Premissas!$C$28,IF(J17&gt;Premissas!$C$25,Premissas!$C$26,0))))*Premissas!$C$5</f>
        <v/>
      </c>
      <c r="K33" s="29">
        <f>(Premissas!$C$12+IF(K17&gt;Premissas!$C$29,Premissas!$C$30,IF(K17&gt;Premissas!$C$27,Premissas!$C$28,IF(K17&gt;Premissas!$C$25,Premissas!$C$26,0))))*Premissas!$C$5</f>
        <v/>
      </c>
      <c r="L33" s="29">
        <f>(Premissas!$C$12+IF(L17&gt;Premissas!$C$29,Premissas!$C$30,IF(L17&gt;Premissas!$C$27,Premissas!$C$28,IF(L17&gt;Premissas!$C$25,Premissas!$C$26,0))))*Premissas!$C$5</f>
        <v/>
      </c>
      <c r="M33" s="29">
        <f>(Premissas!$C$12+IF(M17&gt;Premissas!$C$29,Premissas!$C$30,IF(M17&gt;Premissas!$C$27,Premissas!$C$28,IF(M17&gt;Premissas!$C$25,Premissas!$C$26,0))))*Premissas!$C$5</f>
        <v/>
      </c>
      <c r="N33" s="29">
        <f>(Premissas!$C$12+IF(N17&gt;Premissas!$C$29,Premissas!$C$30,IF(N17&gt;Premissas!$C$27,Premissas!$C$28,IF(N17&gt;Premissas!$C$25,Premissas!$C$26,0))))*Premissas!$C$5</f>
        <v/>
      </c>
      <c r="O33" s="29">
        <f>(Premissas!$C$12+IF(O17&gt;Premissas!$C$29,Premissas!$C$30,IF(O17&gt;Premissas!$C$27,Premissas!$C$28,IF(O17&gt;Premissas!$C$25,Premissas!$C$26,0))))*Premissas!$C$5</f>
        <v/>
      </c>
      <c r="P33" s="29">
        <f>(Premissas!$C$12+IF(P17&gt;Premissas!$C$29,Premissas!$C$30,IF(P17&gt;Premissas!$C$27,Premissas!$C$28,IF(P17&gt;Premissas!$C$25,Premissas!$C$26,0))))*Premissas!$C$5</f>
        <v/>
      </c>
      <c r="Q33" s="29">
        <f>(Premissas!$C$12+IF(Q17&gt;Premissas!$C$29,Premissas!$C$30,IF(Q17&gt;Premissas!$C$27,Premissas!$C$28,IF(Q17&gt;Premissas!$C$25,Premissas!$C$26,0))))*Premissas!$C$5</f>
        <v/>
      </c>
      <c r="R33" s="29">
        <f>(Premissas!$C$12+IF(R17&gt;Premissas!$C$29,Premissas!$C$30,IF(R17&gt;Premissas!$C$27,Premissas!$C$28,IF(R17&gt;Premissas!$C$25,Premissas!$C$26,0))))*Premissas!$C$5</f>
        <v/>
      </c>
      <c r="S33" s="29">
        <f>(Premissas!$C$12+IF(S17&gt;Premissas!$C$29,Premissas!$C$30,IF(S17&gt;Premissas!$C$27,Premissas!$C$28,IF(S17&gt;Premissas!$C$25,Premissas!$C$26,0))))*Premissas!$C$5</f>
        <v/>
      </c>
      <c r="T33" s="29">
        <f>(Premissas!$C$12+IF(T17&gt;Premissas!$C$29,Premissas!$C$30,IF(T17&gt;Premissas!$C$27,Premissas!$C$28,IF(T17&gt;Premissas!$C$25,Premissas!$C$26,0))))*Premissas!$C$5</f>
        <v/>
      </c>
      <c r="U33" s="29">
        <f>(Premissas!$C$12+IF(U17&gt;Premissas!$C$29,Premissas!$C$30,IF(U17&gt;Premissas!$C$27,Premissas!$C$28,IF(U17&gt;Premissas!$C$25,Premissas!$C$26,0))))*Premissas!$C$5</f>
        <v/>
      </c>
      <c r="V33" s="29">
        <f>(Premissas!$C$12+IF(V17&gt;Premissas!$C$29,Premissas!$C$30,IF(V17&gt;Premissas!$C$27,Premissas!$C$28,IF(V17&gt;Premissas!$C$25,Premissas!$C$26,0))))*Premissas!$C$5</f>
        <v/>
      </c>
      <c r="W33" s="29">
        <f>(Premissas!$C$12+IF(W17&gt;Premissas!$C$29,Premissas!$C$30,IF(W17&gt;Premissas!$C$27,Premissas!$C$28,IF(W17&gt;Premissas!$C$25,Premissas!$C$26,0))))*Premissas!$C$5</f>
        <v/>
      </c>
      <c r="X33" s="29">
        <f>(Premissas!$C$12+IF(X17&gt;Premissas!$C$29,Premissas!$C$30,IF(X17&gt;Premissas!$C$27,Premissas!$C$28,IF(X17&gt;Premissas!$C$25,Premissas!$C$26,0))))*Premissas!$C$5</f>
        <v/>
      </c>
      <c r="Y33" s="29">
        <f>(Premissas!$C$12+IF(Y17&gt;Premissas!$C$29,Premissas!$C$30,IF(Y17&gt;Premissas!$C$27,Premissas!$C$28,IF(Y17&gt;Premissas!$C$25,Premissas!$C$26,0))))*Premissas!$C$5</f>
        <v/>
      </c>
      <c r="Z33" s="29">
        <f>(Premissas!$C$12+IF(Z17&gt;Premissas!$C$29,Premissas!$C$30,IF(Z17&gt;Premissas!$C$27,Premissas!$C$28,IF(Z17&gt;Premissas!$C$25,Premissas!$C$26,0))))*Premissas!$C$5</f>
        <v/>
      </c>
      <c r="AA33" s="29">
        <f>(Premissas!$C$12+IF(AA17&gt;Premissas!$C$29,Premissas!$C$30,IF(AA17&gt;Premissas!$C$27,Premissas!$C$28,IF(AA17&gt;Premissas!$C$25,Premissas!$C$26,0))))*Premissas!$C$5</f>
        <v/>
      </c>
      <c r="AB33" s="29">
        <f>(Premissas!$C$12+IF(AB17&gt;Premissas!$C$29,Premissas!$C$30,IF(AB17&gt;Premissas!$C$27,Premissas!$C$28,IF(AB17&gt;Premissas!$C$25,Premissas!$C$26,0))))*Premissas!$C$5</f>
        <v/>
      </c>
      <c r="AC33" s="29">
        <f>(Premissas!$C$12+IF(AC17&gt;Premissas!$C$29,Premissas!$C$30,IF(AC17&gt;Premissas!$C$27,Premissas!$C$28,IF(AC17&gt;Premissas!$C$25,Premissas!$C$26,0))))*Premissas!$C$5</f>
        <v/>
      </c>
    </row>
    <row r="34">
      <c r="A34" s="3" t="inlineStr">
        <is>
          <t>Vercel</t>
        </is>
      </c>
      <c r="B34" s="3" t="inlineStr">
        <is>
          <t>brl</t>
        </is>
      </c>
      <c r="C34" s="29">
        <f>(Premissas!$C$13+MAX(0,C17*Premissas!$C$15-Premissas!$C$14))*Premissas!$C$5</f>
        <v/>
      </c>
      <c r="D34" s="29">
        <f>(Premissas!$C$13+MAX(0,D17*Premissas!$C$15-Premissas!$C$14))*Premissas!$C$5</f>
        <v/>
      </c>
      <c r="E34" s="29">
        <f>(Premissas!$C$13+MAX(0,E17*Premissas!$C$15-Premissas!$C$14))*Premissas!$C$5</f>
        <v/>
      </c>
      <c r="F34" s="29">
        <f>(Premissas!$C$13+MAX(0,F17*Premissas!$C$15-Premissas!$C$14))*Premissas!$C$5</f>
        <v/>
      </c>
      <c r="G34" s="29">
        <f>(Premissas!$C$13+MAX(0,G17*Premissas!$C$15-Premissas!$C$14))*Premissas!$C$5</f>
        <v/>
      </c>
      <c r="H34" s="29">
        <f>(Premissas!$C$13+MAX(0,H17*Premissas!$C$15-Premissas!$C$14))*Premissas!$C$5</f>
        <v/>
      </c>
      <c r="I34" s="29">
        <f>(Premissas!$C$13+MAX(0,I17*Premissas!$C$15-Premissas!$C$14))*Premissas!$C$5</f>
        <v/>
      </c>
      <c r="J34" s="29">
        <f>(Premissas!$C$13+MAX(0,J17*Premissas!$C$15-Premissas!$C$14))*Premissas!$C$5</f>
        <v/>
      </c>
      <c r="K34" s="29">
        <f>(Premissas!$C$13+MAX(0,K17*Premissas!$C$15-Premissas!$C$14))*Premissas!$C$5</f>
        <v/>
      </c>
      <c r="L34" s="29">
        <f>(Premissas!$C$13+MAX(0,L17*Premissas!$C$15-Premissas!$C$14))*Premissas!$C$5</f>
        <v/>
      </c>
      <c r="M34" s="29">
        <f>(Premissas!$C$13+MAX(0,M17*Premissas!$C$15-Premissas!$C$14))*Premissas!$C$5</f>
        <v/>
      </c>
      <c r="N34" s="29">
        <f>(Premissas!$C$13+MAX(0,N17*Premissas!$C$15-Premissas!$C$14))*Premissas!$C$5</f>
        <v/>
      </c>
      <c r="O34" s="29">
        <f>(Premissas!$C$13+MAX(0,O17*Premissas!$C$15-Premissas!$C$14))*Premissas!$C$5</f>
        <v/>
      </c>
      <c r="P34" s="29">
        <f>(Premissas!$C$13+MAX(0,P17*Premissas!$C$15-Premissas!$C$14))*Premissas!$C$5</f>
        <v/>
      </c>
      <c r="Q34" s="29">
        <f>(Premissas!$C$13+MAX(0,Q17*Premissas!$C$15-Premissas!$C$14))*Premissas!$C$5</f>
        <v/>
      </c>
      <c r="R34" s="29">
        <f>(Premissas!$C$13+MAX(0,R17*Premissas!$C$15-Premissas!$C$14))*Premissas!$C$5</f>
        <v/>
      </c>
      <c r="S34" s="29">
        <f>(Premissas!$C$13+MAX(0,S17*Premissas!$C$15-Premissas!$C$14))*Premissas!$C$5</f>
        <v/>
      </c>
      <c r="T34" s="29">
        <f>(Premissas!$C$13+MAX(0,T17*Premissas!$C$15-Premissas!$C$14))*Premissas!$C$5</f>
        <v/>
      </c>
      <c r="U34" s="29">
        <f>(Premissas!$C$13+MAX(0,U17*Premissas!$C$15-Premissas!$C$14))*Premissas!$C$5</f>
        <v/>
      </c>
      <c r="V34" s="29">
        <f>(Premissas!$C$13+MAX(0,V17*Premissas!$C$15-Premissas!$C$14))*Premissas!$C$5</f>
        <v/>
      </c>
      <c r="W34" s="29">
        <f>(Premissas!$C$13+MAX(0,W17*Premissas!$C$15-Premissas!$C$14))*Premissas!$C$5</f>
        <v/>
      </c>
      <c r="X34" s="29">
        <f>(Premissas!$C$13+MAX(0,X17*Premissas!$C$15-Premissas!$C$14))*Premissas!$C$5</f>
        <v/>
      </c>
      <c r="Y34" s="29">
        <f>(Premissas!$C$13+MAX(0,Y17*Premissas!$C$15-Premissas!$C$14))*Premissas!$C$5</f>
        <v/>
      </c>
      <c r="Z34" s="29">
        <f>(Premissas!$C$13+MAX(0,Z17*Premissas!$C$15-Premissas!$C$14))*Premissas!$C$5</f>
        <v/>
      </c>
      <c r="AA34" s="29">
        <f>(Premissas!$C$13+MAX(0,AA17*Premissas!$C$15-Premissas!$C$14))*Premissas!$C$5</f>
        <v/>
      </c>
      <c r="AB34" s="29">
        <f>(Premissas!$C$13+MAX(0,AB17*Premissas!$C$15-Premissas!$C$14))*Premissas!$C$5</f>
        <v/>
      </c>
      <c r="AC34" s="29">
        <f>(Premissas!$C$13+MAX(0,AC17*Premissas!$C$15-Premissas!$C$14))*Premissas!$C$5</f>
        <v/>
      </c>
    </row>
    <row r="35">
      <c r="A35" s="3" t="inlineStr">
        <is>
          <t>Contabilidade e INSS do pró-labore</t>
        </is>
      </c>
      <c r="B35" s="3" t="inlineStr">
        <is>
          <t>brl</t>
        </is>
      </c>
      <c r="C35" s="29">
        <f>Premissas!$C$16+Premissas!$C$17*Premissas!$C$18</f>
        <v/>
      </c>
      <c r="D35" s="29">
        <f>Premissas!$C$16+Premissas!$C$17*Premissas!$C$18</f>
        <v/>
      </c>
      <c r="E35" s="29">
        <f>Premissas!$C$16+Premissas!$C$17*Premissas!$C$18</f>
        <v/>
      </c>
      <c r="F35" s="29">
        <f>Premissas!$C$16+Premissas!$C$17*Premissas!$C$18</f>
        <v/>
      </c>
      <c r="G35" s="29">
        <f>Premissas!$C$16+Premissas!$C$17*Premissas!$C$18</f>
        <v/>
      </c>
      <c r="H35" s="29">
        <f>Premissas!$C$16+Premissas!$C$17*Premissas!$C$18</f>
        <v/>
      </c>
      <c r="I35" s="29">
        <f>Premissas!$C$16+Premissas!$C$17*Premissas!$C$18</f>
        <v/>
      </c>
      <c r="J35" s="29">
        <f>Premissas!$C$16+Premissas!$C$17*Premissas!$C$18</f>
        <v/>
      </c>
      <c r="K35" s="29">
        <f>Premissas!$C$16+Premissas!$C$17*Premissas!$C$18</f>
        <v/>
      </c>
      <c r="L35" s="29">
        <f>Premissas!$C$16+Premissas!$C$17*Premissas!$C$18</f>
        <v/>
      </c>
      <c r="M35" s="29">
        <f>Premissas!$C$16+Premissas!$C$17*Premissas!$C$18</f>
        <v/>
      </c>
      <c r="N35" s="29">
        <f>Premissas!$C$16+Premissas!$C$17*Premissas!$C$18</f>
        <v/>
      </c>
      <c r="O35" s="29">
        <f>Premissas!$C$16+Premissas!$C$17*Premissas!$C$18</f>
        <v/>
      </c>
      <c r="P35" s="29">
        <f>Premissas!$C$16+Premissas!$C$17*Premissas!$C$18</f>
        <v/>
      </c>
      <c r="Q35" s="29">
        <f>Premissas!$C$16+Premissas!$C$17*Premissas!$C$18</f>
        <v/>
      </c>
      <c r="R35" s="29">
        <f>Premissas!$C$16+Premissas!$C$17*Premissas!$C$18</f>
        <v/>
      </c>
      <c r="S35" s="29">
        <f>Premissas!$C$16+Premissas!$C$17*Premissas!$C$18</f>
        <v/>
      </c>
      <c r="T35" s="29">
        <f>Premissas!$C$16+Premissas!$C$17*Premissas!$C$18</f>
        <v/>
      </c>
      <c r="U35" s="29">
        <f>Premissas!$C$16+Premissas!$C$17*Premissas!$C$18</f>
        <v/>
      </c>
      <c r="V35" s="29">
        <f>Premissas!$C$16+Premissas!$C$17*Premissas!$C$18</f>
        <v/>
      </c>
      <c r="W35" s="29">
        <f>Premissas!$C$16+Premissas!$C$17*Premissas!$C$18</f>
        <v/>
      </c>
      <c r="X35" s="29">
        <f>Premissas!$C$16+Premissas!$C$17*Premissas!$C$18</f>
        <v/>
      </c>
      <c r="Y35" s="29">
        <f>Premissas!$C$16+Premissas!$C$17*Premissas!$C$18</f>
        <v/>
      </c>
      <c r="Z35" s="29">
        <f>Premissas!$C$16+Premissas!$C$17*Premissas!$C$18</f>
        <v/>
      </c>
      <c r="AA35" s="29">
        <f>Premissas!$C$16+Premissas!$C$17*Premissas!$C$18</f>
        <v/>
      </c>
      <c r="AB35" s="29">
        <f>Premissas!$C$16+Premissas!$C$17*Premissas!$C$18</f>
        <v/>
      </c>
      <c r="AC35" s="29">
        <f>Premissas!$C$16+Premissas!$C$17*Premissas!$C$18</f>
        <v/>
      </c>
    </row>
    <row r="36">
      <c r="A36" s="3" t="inlineStr">
        <is>
          <t>Domínio e e-mail próprio</t>
        </is>
      </c>
      <c r="B36" s="3" t="inlineStr">
        <is>
          <t>brl</t>
        </is>
      </c>
      <c r="C36" s="29">
        <f>Premissas!$C$19+Premissas!$C$20</f>
        <v/>
      </c>
      <c r="D36" s="29">
        <f>Premissas!$C$19+Premissas!$C$20</f>
        <v/>
      </c>
      <c r="E36" s="29">
        <f>Premissas!$C$19+Premissas!$C$20</f>
        <v/>
      </c>
      <c r="F36" s="29">
        <f>Premissas!$C$19+Premissas!$C$20</f>
        <v/>
      </c>
      <c r="G36" s="29">
        <f>Premissas!$C$19+Premissas!$C$20</f>
        <v/>
      </c>
      <c r="H36" s="29">
        <f>Premissas!$C$19+Premissas!$C$20</f>
        <v/>
      </c>
      <c r="I36" s="29">
        <f>Premissas!$C$19+Premissas!$C$20</f>
        <v/>
      </c>
      <c r="J36" s="29">
        <f>Premissas!$C$19+Premissas!$C$20</f>
        <v/>
      </c>
      <c r="K36" s="29">
        <f>Premissas!$C$19+Premissas!$C$20</f>
        <v/>
      </c>
      <c r="L36" s="29">
        <f>Premissas!$C$19+Premissas!$C$20</f>
        <v/>
      </c>
      <c r="M36" s="29">
        <f>Premissas!$C$19+Premissas!$C$20</f>
        <v/>
      </c>
      <c r="N36" s="29">
        <f>Premissas!$C$19+Premissas!$C$20</f>
        <v/>
      </c>
      <c r="O36" s="29">
        <f>Premissas!$C$19+Premissas!$C$20</f>
        <v/>
      </c>
      <c r="P36" s="29">
        <f>Premissas!$C$19+Premissas!$C$20</f>
        <v/>
      </c>
      <c r="Q36" s="29">
        <f>Premissas!$C$19+Premissas!$C$20</f>
        <v/>
      </c>
      <c r="R36" s="29">
        <f>Premissas!$C$19+Premissas!$C$20</f>
        <v/>
      </c>
      <c r="S36" s="29">
        <f>Premissas!$C$19+Premissas!$C$20</f>
        <v/>
      </c>
      <c r="T36" s="29">
        <f>Premissas!$C$19+Premissas!$C$20</f>
        <v/>
      </c>
      <c r="U36" s="29">
        <f>Premissas!$C$19+Premissas!$C$20</f>
        <v/>
      </c>
      <c r="V36" s="29">
        <f>Premissas!$C$19+Premissas!$C$20</f>
        <v/>
      </c>
      <c r="W36" s="29">
        <f>Premissas!$C$19+Premissas!$C$20</f>
        <v/>
      </c>
      <c r="X36" s="29">
        <f>Premissas!$C$19+Premissas!$C$20</f>
        <v/>
      </c>
      <c r="Y36" s="29">
        <f>Premissas!$C$19+Premissas!$C$20</f>
        <v/>
      </c>
      <c r="Z36" s="29">
        <f>Premissas!$C$19+Premissas!$C$20</f>
        <v/>
      </c>
      <c r="AA36" s="29">
        <f>Premissas!$C$19+Premissas!$C$20</f>
        <v/>
      </c>
      <c r="AB36" s="29">
        <f>Premissas!$C$19+Premissas!$C$20</f>
        <v/>
      </c>
      <c r="AC36" s="29">
        <f>Premissas!$C$19+Premissas!$C$20</f>
        <v/>
      </c>
    </row>
    <row r="37">
      <c r="A37" s="3" t="inlineStr">
        <is>
          <t>Resend e Sentry (quando passam do grátis)</t>
        </is>
      </c>
      <c r="B37" s="3" t="inlineStr">
        <is>
          <t>brl</t>
        </is>
      </c>
      <c r="C37" s="29">
        <f>(IF(C17&gt;Premissas!$C$22,Premissas!$C$21,0)+IF(C17&gt;Premissas!$C$24,Premissas!$C$23,0))*Premissas!$C$5</f>
        <v/>
      </c>
      <c r="D37" s="29">
        <f>(IF(D17&gt;Premissas!$C$22,Premissas!$C$21,0)+IF(D17&gt;Premissas!$C$24,Premissas!$C$23,0))*Premissas!$C$5</f>
        <v/>
      </c>
      <c r="E37" s="29">
        <f>(IF(E17&gt;Premissas!$C$22,Premissas!$C$21,0)+IF(E17&gt;Premissas!$C$24,Premissas!$C$23,0))*Premissas!$C$5</f>
        <v/>
      </c>
      <c r="F37" s="29">
        <f>(IF(F17&gt;Premissas!$C$22,Premissas!$C$21,0)+IF(F17&gt;Premissas!$C$24,Premissas!$C$23,0))*Premissas!$C$5</f>
        <v/>
      </c>
      <c r="G37" s="29">
        <f>(IF(G17&gt;Premissas!$C$22,Premissas!$C$21,0)+IF(G17&gt;Premissas!$C$24,Premissas!$C$23,0))*Premissas!$C$5</f>
        <v/>
      </c>
      <c r="H37" s="29">
        <f>(IF(H17&gt;Premissas!$C$22,Premissas!$C$21,0)+IF(H17&gt;Premissas!$C$24,Premissas!$C$23,0))*Premissas!$C$5</f>
        <v/>
      </c>
      <c r="I37" s="29">
        <f>(IF(I17&gt;Premissas!$C$22,Premissas!$C$21,0)+IF(I17&gt;Premissas!$C$24,Premissas!$C$23,0))*Premissas!$C$5</f>
        <v/>
      </c>
      <c r="J37" s="29">
        <f>(IF(J17&gt;Premissas!$C$22,Premissas!$C$21,0)+IF(J17&gt;Premissas!$C$24,Premissas!$C$23,0))*Premissas!$C$5</f>
        <v/>
      </c>
      <c r="K37" s="29">
        <f>(IF(K17&gt;Premissas!$C$22,Premissas!$C$21,0)+IF(K17&gt;Premissas!$C$24,Premissas!$C$23,0))*Premissas!$C$5</f>
        <v/>
      </c>
      <c r="L37" s="29">
        <f>(IF(L17&gt;Premissas!$C$22,Premissas!$C$21,0)+IF(L17&gt;Premissas!$C$24,Premissas!$C$23,0))*Premissas!$C$5</f>
        <v/>
      </c>
      <c r="M37" s="29">
        <f>(IF(M17&gt;Premissas!$C$22,Premissas!$C$21,0)+IF(M17&gt;Premissas!$C$24,Premissas!$C$23,0))*Premissas!$C$5</f>
        <v/>
      </c>
      <c r="N37" s="29">
        <f>(IF(N17&gt;Premissas!$C$22,Premissas!$C$21,0)+IF(N17&gt;Premissas!$C$24,Premissas!$C$23,0))*Premissas!$C$5</f>
        <v/>
      </c>
      <c r="O37" s="29">
        <f>(IF(O17&gt;Premissas!$C$22,Premissas!$C$21,0)+IF(O17&gt;Premissas!$C$24,Premissas!$C$23,0))*Premissas!$C$5</f>
        <v/>
      </c>
      <c r="P37" s="29">
        <f>(IF(P17&gt;Premissas!$C$22,Premissas!$C$21,0)+IF(P17&gt;Premissas!$C$24,Premissas!$C$23,0))*Premissas!$C$5</f>
        <v/>
      </c>
      <c r="Q37" s="29">
        <f>(IF(Q17&gt;Premissas!$C$22,Premissas!$C$21,0)+IF(Q17&gt;Premissas!$C$24,Premissas!$C$23,0))*Premissas!$C$5</f>
        <v/>
      </c>
      <c r="R37" s="29">
        <f>(IF(R17&gt;Premissas!$C$22,Premissas!$C$21,0)+IF(R17&gt;Premissas!$C$24,Premissas!$C$23,0))*Premissas!$C$5</f>
        <v/>
      </c>
      <c r="S37" s="29">
        <f>(IF(S17&gt;Premissas!$C$22,Premissas!$C$21,0)+IF(S17&gt;Premissas!$C$24,Premissas!$C$23,0))*Premissas!$C$5</f>
        <v/>
      </c>
      <c r="T37" s="29">
        <f>(IF(T17&gt;Premissas!$C$22,Premissas!$C$21,0)+IF(T17&gt;Premissas!$C$24,Premissas!$C$23,0))*Premissas!$C$5</f>
        <v/>
      </c>
      <c r="U37" s="29">
        <f>(IF(U17&gt;Premissas!$C$22,Premissas!$C$21,0)+IF(U17&gt;Premissas!$C$24,Premissas!$C$23,0))*Premissas!$C$5</f>
        <v/>
      </c>
      <c r="V37" s="29">
        <f>(IF(V17&gt;Premissas!$C$22,Premissas!$C$21,0)+IF(V17&gt;Premissas!$C$24,Premissas!$C$23,0))*Premissas!$C$5</f>
        <v/>
      </c>
      <c r="W37" s="29">
        <f>(IF(W17&gt;Premissas!$C$22,Premissas!$C$21,0)+IF(W17&gt;Premissas!$C$24,Premissas!$C$23,0))*Premissas!$C$5</f>
        <v/>
      </c>
      <c r="X37" s="29">
        <f>(IF(X17&gt;Premissas!$C$22,Premissas!$C$21,0)+IF(X17&gt;Premissas!$C$24,Premissas!$C$23,0))*Premissas!$C$5</f>
        <v/>
      </c>
      <c r="Y37" s="29">
        <f>(IF(Y17&gt;Premissas!$C$22,Premissas!$C$21,0)+IF(Y17&gt;Premissas!$C$24,Premissas!$C$23,0))*Premissas!$C$5</f>
        <v/>
      </c>
      <c r="Z37" s="29">
        <f>(IF(Z17&gt;Premissas!$C$22,Premissas!$C$21,0)+IF(Z17&gt;Premissas!$C$24,Premissas!$C$23,0))*Premissas!$C$5</f>
        <v/>
      </c>
      <c r="AA37" s="29">
        <f>(IF(AA17&gt;Premissas!$C$22,Premissas!$C$21,0)+IF(AA17&gt;Premissas!$C$24,Premissas!$C$23,0))*Premissas!$C$5</f>
        <v/>
      </c>
      <c r="AB37" s="29">
        <f>(IF(AB17&gt;Premissas!$C$22,Premissas!$C$21,0)+IF(AB17&gt;Premissas!$C$24,Premissas!$C$23,0))*Premissas!$C$5</f>
        <v/>
      </c>
      <c r="AC37" s="29">
        <f>(IF(AC17&gt;Premissas!$C$22,Premissas!$C$21,0)+IF(AC17&gt;Premissas!$C$24,Premissas!$C$23,0))*Premissas!$C$5</f>
        <v/>
      </c>
    </row>
    <row r="38">
      <c r="A38" s="3" t="inlineStr">
        <is>
          <t>Rua: transporte</t>
        </is>
      </c>
      <c r="B38" s="3" t="inlineStr">
        <is>
          <t>brl</t>
        </is>
      </c>
      <c r="C38" s="29">
        <f>C7*Premissas!$C$31</f>
        <v/>
      </c>
      <c r="D38" s="29">
        <f>D7*Premissas!$C$31</f>
        <v/>
      </c>
      <c r="E38" s="29">
        <f>E7*Premissas!$C$31</f>
        <v/>
      </c>
      <c r="F38" s="29">
        <f>F7*Premissas!$C$31</f>
        <v/>
      </c>
      <c r="G38" s="29">
        <f>G7*Premissas!$C$31</f>
        <v/>
      </c>
      <c r="H38" s="29">
        <f>H7*Premissas!$C$31</f>
        <v/>
      </c>
      <c r="I38" s="29">
        <f>I7*Premissas!$C$31</f>
        <v/>
      </c>
      <c r="J38" s="29">
        <f>J7*Premissas!$C$31</f>
        <v/>
      </c>
      <c r="K38" s="29">
        <f>K7*Premissas!$C$31</f>
        <v/>
      </c>
      <c r="L38" s="29">
        <f>L7*Premissas!$C$31</f>
        <v/>
      </c>
      <c r="M38" s="29">
        <f>M7*Premissas!$C$31</f>
        <v/>
      </c>
      <c r="N38" s="29">
        <f>N7*Premissas!$C$31</f>
        <v/>
      </c>
      <c r="O38" s="29">
        <f>O7*Premissas!$C$31</f>
        <v/>
      </c>
      <c r="P38" s="29">
        <f>P7*Premissas!$C$31</f>
        <v/>
      </c>
      <c r="Q38" s="29">
        <f>Q7*Premissas!$C$31</f>
        <v/>
      </c>
      <c r="R38" s="29">
        <f>R7*Premissas!$C$31</f>
        <v/>
      </c>
      <c r="S38" s="29">
        <f>S7*Premissas!$C$31</f>
        <v/>
      </c>
      <c r="T38" s="29">
        <f>T7*Premissas!$C$31</f>
        <v/>
      </c>
      <c r="U38" s="29">
        <f>U7*Premissas!$C$31</f>
        <v/>
      </c>
      <c r="V38" s="29">
        <f>V7*Premissas!$C$31</f>
        <v/>
      </c>
      <c r="W38" s="29">
        <f>W7*Premissas!$C$31</f>
        <v/>
      </c>
      <c r="X38" s="29">
        <f>X7*Premissas!$C$31</f>
        <v/>
      </c>
      <c r="Y38" s="29">
        <f>Y7*Premissas!$C$31</f>
        <v/>
      </c>
      <c r="Z38" s="29">
        <f>Z7*Premissas!$C$31</f>
        <v/>
      </c>
      <c r="AA38" s="29">
        <f>AA7*Premissas!$C$31</f>
        <v/>
      </c>
      <c r="AB38" s="29">
        <f>AB7*Premissas!$C$31</f>
        <v/>
      </c>
      <c r="AC38" s="29">
        <f>AC7*Premissas!$C$31</f>
        <v/>
      </c>
    </row>
    <row r="39">
      <c r="A39" s="3" t="inlineStr">
        <is>
          <t>Conteúdo e material</t>
        </is>
      </c>
      <c r="B39" s="3" t="inlineStr">
        <is>
          <t>brl</t>
        </is>
      </c>
      <c r="C39" s="29">
        <f>Premissas!$C$32</f>
        <v/>
      </c>
      <c r="D39" s="29">
        <f>Premissas!$C$32</f>
        <v/>
      </c>
      <c r="E39" s="29">
        <f>Premissas!$C$32</f>
        <v/>
      </c>
      <c r="F39" s="29">
        <f>Premissas!$C$32</f>
        <v/>
      </c>
      <c r="G39" s="29">
        <f>Premissas!$C$32</f>
        <v/>
      </c>
      <c r="H39" s="29">
        <f>Premissas!$C$32</f>
        <v/>
      </c>
      <c r="I39" s="29">
        <f>Premissas!$C$32</f>
        <v/>
      </c>
      <c r="J39" s="29">
        <f>Premissas!$C$32</f>
        <v/>
      </c>
      <c r="K39" s="29">
        <f>Premissas!$C$32</f>
        <v/>
      </c>
      <c r="L39" s="29">
        <f>Premissas!$C$32</f>
        <v/>
      </c>
      <c r="M39" s="29">
        <f>Premissas!$C$32</f>
        <v/>
      </c>
      <c r="N39" s="29">
        <f>Premissas!$C$32</f>
        <v/>
      </c>
      <c r="O39" s="29">
        <f>Premissas!$C$32</f>
        <v/>
      </c>
      <c r="P39" s="29">
        <f>Premissas!$C$32</f>
        <v/>
      </c>
      <c r="Q39" s="29">
        <f>Premissas!$C$32</f>
        <v/>
      </c>
      <c r="R39" s="29">
        <f>Premissas!$C$32</f>
        <v/>
      </c>
      <c r="S39" s="29">
        <f>Premissas!$C$32</f>
        <v/>
      </c>
      <c r="T39" s="29">
        <f>Premissas!$C$32</f>
        <v/>
      </c>
      <c r="U39" s="29">
        <f>Premissas!$C$32</f>
        <v/>
      </c>
      <c r="V39" s="29">
        <f>Premissas!$C$32</f>
        <v/>
      </c>
      <c r="W39" s="29">
        <f>Premissas!$C$32</f>
        <v/>
      </c>
      <c r="X39" s="29">
        <f>Premissas!$C$32</f>
        <v/>
      </c>
      <c r="Y39" s="29">
        <f>Premissas!$C$32</f>
        <v/>
      </c>
      <c r="Z39" s="29">
        <f>Premissas!$C$32</f>
        <v/>
      </c>
      <c r="AA39" s="29">
        <f>Premissas!$C$32</f>
        <v/>
      </c>
      <c r="AB39" s="29">
        <f>Premissas!$C$32</f>
        <v/>
      </c>
      <c r="AC39" s="29">
        <f>Premissas!$C$32</f>
        <v/>
      </c>
    </row>
    <row r="40">
      <c r="A40" s="27" t="inlineStr">
        <is>
          <t>Total de custos</t>
        </is>
      </c>
      <c r="B40" s="3" t="inlineStr">
        <is>
          <t>brl</t>
        </is>
      </c>
      <c r="C40" s="30">
        <f>SUM(C33:C39)</f>
        <v/>
      </c>
      <c r="D40" s="30">
        <f>SUM(D33:D39)</f>
        <v/>
      </c>
      <c r="E40" s="30">
        <f>SUM(E33:E39)</f>
        <v/>
      </c>
      <c r="F40" s="30">
        <f>SUM(F33:F39)</f>
        <v/>
      </c>
      <c r="G40" s="30">
        <f>SUM(G33:G39)</f>
        <v/>
      </c>
      <c r="H40" s="30">
        <f>SUM(H33:H39)</f>
        <v/>
      </c>
      <c r="I40" s="30">
        <f>SUM(I33:I39)</f>
        <v/>
      </c>
      <c r="J40" s="30">
        <f>SUM(J33:J39)</f>
        <v/>
      </c>
      <c r="K40" s="30">
        <f>SUM(K33:K39)</f>
        <v/>
      </c>
      <c r="L40" s="30">
        <f>SUM(L33:L39)</f>
        <v/>
      </c>
      <c r="M40" s="30">
        <f>SUM(M33:M39)</f>
        <v/>
      </c>
      <c r="N40" s="30">
        <f>SUM(N33:N39)</f>
        <v/>
      </c>
      <c r="O40" s="30">
        <f>SUM(O33:O39)</f>
        <v/>
      </c>
      <c r="P40" s="30">
        <f>SUM(P33:P39)</f>
        <v/>
      </c>
      <c r="Q40" s="30">
        <f>SUM(Q33:Q39)</f>
        <v/>
      </c>
      <c r="R40" s="30">
        <f>SUM(R33:R39)</f>
        <v/>
      </c>
      <c r="S40" s="30">
        <f>SUM(S33:S39)</f>
        <v/>
      </c>
      <c r="T40" s="30">
        <f>SUM(T33:T39)</f>
        <v/>
      </c>
      <c r="U40" s="30">
        <f>SUM(U33:U39)</f>
        <v/>
      </c>
      <c r="V40" s="30">
        <f>SUM(V33:V39)</f>
        <v/>
      </c>
      <c r="W40" s="30">
        <f>SUM(W33:W39)</f>
        <v/>
      </c>
      <c r="X40" s="30">
        <f>SUM(X33:X39)</f>
        <v/>
      </c>
      <c r="Y40" s="30">
        <f>SUM(Y33:Y39)</f>
        <v/>
      </c>
      <c r="Z40" s="30">
        <f>SUM(Z33:Z39)</f>
        <v/>
      </c>
      <c r="AA40" s="30">
        <f>SUM(AA33:AA39)</f>
        <v/>
      </c>
      <c r="AB40" s="30">
        <f>SUM(AB33:AB39)</f>
        <v/>
      </c>
      <c r="AC40" s="30">
        <f>SUM(AC33:AC39)</f>
        <v/>
      </c>
    </row>
    <row r="41">
      <c r="A41" s="27" t="inlineStr">
        <is>
          <t>Resultado operacional</t>
        </is>
      </c>
      <c r="B41" s="3" t="inlineStr">
        <is>
          <t>brl</t>
        </is>
      </c>
      <c r="C41" s="30">
        <f>C31-C40</f>
        <v/>
      </c>
      <c r="D41" s="30">
        <f>D31-D40</f>
        <v/>
      </c>
      <c r="E41" s="30">
        <f>E31-E40</f>
        <v/>
      </c>
      <c r="F41" s="30">
        <f>F31-F40</f>
        <v/>
      </c>
      <c r="G41" s="30">
        <f>G31-G40</f>
        <v/>
      </c>
      <c r="H41" s="30">
        <f>H31-H40</f>
        <v/>
      </c>
      <c r="I41" s="30">
        <f>I31-I40</f>
        <v/>
      </c>
      <c r="J41" s="30">
        <f>J31-J40</f>
        <v/>
      </c>
      <c r="K41" s="30">
        <f>K31-K40</f>
        <v/>
      </c>
      <c r="L41" s="30">
        <f>L31-L40</f>
        <v/>
      </c>
      <c r="M41" s="30">
        <f>M31-M40</f>
        <v/>
      </c>
      <c r="N41" s="30">
        <f>N31-N40</f>
        <v/>
      </c>
      <c r="O41" s="30">
        <f>O31-O40</f>
        <v/>
      </c>
      <c r="P41" s="30">
        <f>P31-P40</f>
        <v/>
      </c>
      <c r="Q41" s="30">
        <f>Q31-Q40</f>
        <v/>
      </c>
      <c r="R41" s="30">
        <f>R31-R40</f>
        <v/>
      </c>
      <c r="S41" s="30">
        <f>S31-S40</f>
        <v/>
      </c>
      <c r="T41" s="30">
        <f>T31-T40</f>
        <v/>
      </c>
      <c r="U41" s="30">
        <f>U31-U40</f>
        <v/>
      </c>
      <c r="V41" s="30">
        <f>V31-V40</f>
        <v/>
      </c>
      <c r="W41" s="30">
        <f>W31-W40</f>
        <v/>
      </c>
      <c r="X41" s="30">
        <f>X31-X40</f>
        <v/>
      </c>
      <c r="Y41" s="30">
        <f>Y31-Y40</f>
        <v/>
      </c>
      <c r="Z41" s="30">
        <f>Z31-Z40</f>
        <v/>
      </c>
      <c r="AA41" s="30">
        <f>AA31-AA40</f>
        <v/>
      </c>
      <c r="AB41" s="30">
        <f>AB31-AB40</f>
        <v/>
      </c>
      <c r="AC41" s="30">
        <f>AC31-AC40</f>
        <v/>
      </c>
    </row>
    <row r="42">
      <c r="A42" s="3" t="inlineStr">
        <is>
          <t>Investimento único</t>
        </is>
      </c>
      <c r="B42" s="3" t="inlineStr">
        <is>
          <t>brl</t>
        </is>
      </c>
      <c r="C42" s="29">
        <f>Calendario!C10*(Premissas!$C$37+Premissas!$C$38+Premissas!$C$39+Premissas!$C$40)</f>
        <v/>
      </c>
      <c r="D42" s="29">
        <f>Calendario!D10*(Premissas!$C$37+Premissas!$C$38+Premissas!$C$39+Premissas!$C$40)</f>
        <v/>
      </c>
      <c r="E42" s="29">
        <f>Calendario!E10*(Premissas!$C$37+Premissas!$C$38+Premissas!$C$39+Premissas!$C$40)</f>
        <v/>
      </c>
      <c r="F42" s="29">
        <f>Calendario!F10*(Premissas!$C$37+Premissas!$C$38+Premissas!$C$39+Premissas!$C$40)</f>
        <v/>
      </c>
      <c r="G42" s="29">
        <f>Calendario!G10*(Premissas!$C$37+Premissas!$C$38+Premissas!$C$39+Premissas!$C$40)</f>
        <v/>
      </c>
      <c r="H42" s="29">
        <f>Calendario!H10*(Premissas!$C$37+Premissas!$C$38+Premissas!$C$39+Premissas!$C$40)</f>
        <v/>
      </c>
      <c r="I42" s="29">
        <f>Calendario!I10*(Premissas!$C$37+Premissas!$C$38+Premissas!$C$39+Premissas!$C$40)</f>
        <v/>
      </c>
      <c r="J42" s="29">
        <f>Calendario!J10*(Premissas!$C$37+Premissas!$C$38+Premissas!$C$39+Premissas!$C$40)</f>
        <v/>
      </c>
      <c r="K42" s="29">
        <f>Calendario!K10*(Premissas!$C$37+Premissas!$C$38+Premissas!$C$39+Premissas!$C$40)</f>
        <v/>
      </c>
      <c r="L42" s="29">
        <f>Calendario!L10*(Premissas!$C$37+Premissas!$C$38+Premissas!$C$39+Premissas!$C$40)</f>
        <v/>
      </c>
      <c r="M42" s="29">
        <f>Calendario!M10*(Premissas!$C$37+Premissas!$C$38+Premissas!$C$39+Premissas!$C$40)</f>
        <v/>
      </c>
      <c r="N42" s="29">
        <f>Calendario!N10*(Premissas!$C$37+Premissas!$C$38+Premissas!$C$39+Premissas!$C$40)</f>
        <v/>
      </c>
      <c r="O42" s="29">
        <f>Calendario!O10*(Premissas!$C$37+Premissas!$C$38+Premissas!$C$39+Premissas!$C$40)</f>
        <v/>
      </c>
      <c r="P42" s="29">
        <f>Calendario!P10*(Premissas!$C$37+Premissas!$C$38+Premissas!$C$39+Premissas!$C$40)</f>
        <v/>
      </c>
      <c r="Q42" s="29">
        <f>Calendario!Q10*(Premissas!$C$37+Premissas!$C$38+Premissas!$C$39+Premissas!$C$40)</f>
        <v/>
      </c>
      <c r="R42" s="29">
        <f>Calendario!R10*(Premissas!$C$37+Premissas!$C$38+Premissas!$C$39+Premissas!$C$40)</f>
        <v/>
      </c>
      <c r="S42" s="29">
        <f>Calendario!S10*(Premissas!$C$37+Premissas!$C$38+Premissas!$C$39+Premissas!$C$40)</f>
        <v/>
      </c>
      <c r="T42" s="29">
        <f>Calendario!T10*(Premissas!$C$37+Premissas!$C$38+Premissas!$C$39+Premissas!$C$40)</f>
        <v/>
      </c>
      <c r="U42" s="29">
        <f>Calendario!U10*(Premissas!$C$37+Premissas!$C$38+Premissas!$C$39+Premissas!$C$40)</f>
        <v/>
      </c>
      <c r="V42" s="29">
        <f>Calendario!V10*(Premissas!$C$37+Premissas!$C$38+Premissas!$C$39+Premissas!$C$40)</f>
        <v/>
      </c>
      <c r="W42" s="29">
        <f>Calendario!W10*(Premissas!$C$37+Premissas!$C$38+Premissas!$C$39+Premissas!$C$40)</f>
        <v/>
      </c>
      <c r="X42" s="29">
        <f>Calendario!X10*(Premissas!$C$37+Premissas!$C$38+Premissas!$C$39+Premissas!$C$40)</f>
        <v/>
      </c>
      <c r="Y42" s="29">
        <f>Calendario!Y10*(Premissas!$C$37+Premissas!$C$38+Premissas!$C$39+Premissas!$C$40)</f>
        <v/>
      </c>
      <c r="Z42" s="29">
        <f>Calendario!Z10*(Premissas!$C$37+Premissas!$C$38+Premissas!$C$39+Premissas!$C$40)</f>
        <v/>
      </c>
      <c r="AA42" s="29">
        <f>Calendario!AA10*(Premissas!$C$37+Premissas!$C$38+Premissas!$C$39+Premissas!$C$40)</f>
        <v/>
      </c>
      <c r="AB42" s="29">
        <f>Calendario!AB10*(Premissas!$C$37+Premissas!$C$38+Premissas!$C$39+Premissas!$C$40)</f>
        <v/>
      </c>
      <c r="AC42" s="29">
        <f>Calendario!AC10*(Premissas!$C$37+Premissas!$C$38+Premissas!$C$39+Premissas!$C$40)</f>
        <v/>
      </c>
    </row>
    <row r="43">
      <c r="A43" s="27" t="inlineStr">
        <is>
          <t>Resultado do mês</t>
        </is>
      </c>
      <c r="B43" s="3" t="inlineStr">
        <is>
          <t>brl</t>
        </is>
      </c>
      <c r="C43" s="30">
        <f>C41-C42</f>
        <v/>
      </c>
      <c r="D43" s="30">
        <f>D41-D42</f>
        <v/>
      </c>
      <c r="E43" s="30">
        <f>E41-E42</f>
        <v/>
      </c>
      <c r="F43" s="30">
        <f>F41-F42</f>
        <v/>
      </c>
      <c r="G43" s="30">
        <f>G41-G42</f>
        <v/>
      </c>
      <c r="H43" s="30">
        <f>H41-H42</f>
        <v/>
      </c>
      <c r="I43" s="30">
        <f>I41-I42</f>
        <v/>
      </c>
      <c r="J43" s="30">
        <f>J41-J42</f>
        <v/>
      </c>
      <c r="K43" s="30">
        <f>K41-K42</f>
        <v/>
      </c>
      <c r="L43" s="30">
        <f>L41-L42</f>
        <v/>
      </c>
      <c r="M43" s="30">
        <f>M41-M42</f>
        <v/>
      </c>
      <c r="N43" s="30">
        <f>N41-N42</f>
        <v/>
      </c>
      <c r="O43" s="30">
        <f>O41-O42</f>
        <v/>
      </c>
      <c r="P43" s="30">
        <f>P41-P42</f>
        <v/>
      </c>
      <c r="Q43" s="30">
        <f>Q41-Q42</f>
        <v/>
      </c>
      <c r="R43" s="30">
        <f>R41-R42</f>
        <v/>
      </c>
      <c r="S43" s="30">
        <f>S41-S42</f>
        <v/>
      </c>
      <c r="T43" s="30">
        <f>T41-T42</f>
        <v/>
      </c>
      <c r="U43" s="30">
        <f>U41-U42</f>
        <v/>
      </c>
      <c r="V43" s="30">
        <f>V41-V42</f>
        <v/>
      </c>
      <c r="W43" s="30">
        <f>W41-W42</f>
        <v/>
      </c>
      <c r="X43" s="30">
        <f>X41-X42</f>
        <v/>
      </c>
      <c r="Y43" s="30">
        <f>Y41-Y42</f>
        <v/>
      </c>
      <c r="Z43" s="30">
        <f>Z41-Z42</f>
        <v/>
      </c>
      <c r="AA43" s="30">
        <f>AA41-AA42</f>
        <v/>
      </c>
      <c r="AB43" s="30">
        <f>AB41-AB42</f>
        <v/>
      </c>
      <c r="AC43" s="30">
        <f>AC41-AC42</f>
        <v/>
      </c>
    </row>
    <row r="44">
      <c r="A44" s="27" t="inlineStr">
        <is>
          <t>Caixa acumulado</t>
        </is>
      </c>
      <c r="B44" s="3" t="inlineStr">
        <is>
          <t>brl</t>
        </is>
      </c>
      <c r="C44" s="30">
        <f>0+C43</f>
        <v/>
      </c>
      <c r="D44" s="30">
        <f>C44+D43</f>
        <v/>
      </c>
      <c r="E44" s="30">
        <f>D44+E43</f>
        <v/>
      </c>
      <c r="F44" s="30">
        <f>E44+F43</f>
        <v/>
      </c>
      <c r="G44" s="30">
        <f>F44+G43</f>
        <v/>
      </c>
      <c r="H44" s="30">
        <f>G44+H43</f>
        <v/>
      </c>
      <c r="I44" s="30">
        <f>H44+I43</f>
        <v/>
      </c>
      <c r="J44" s="30">
        <f>I44+J43</f>
        <v/>
      </c>
      <c r="K44" s="30">
        <f>J44+K43</f>
        <v/>
      </c>
      <c r="L44" s="30">
        <f>K44+L43</f>
        <v/>
      </c>
      <c r="M44" s="30">
        <f>L44+M43</f>
        <v/>
      </c>
      <c r="N44" s="30">
        <f>M44+N43</f>
        <v/>
      </c>
      <c r="O44" s="30">
        <f>N44+O43</f>
        <v/>
      </c>
      <c r="P44" s="30">
        <f>O44+P43</f>
        <v/>
      </c>
      <c r="Q44" s="30">
        <f>P44+Q43</f>
        <v/>
      </c>
      <c r="R44" s="30">
        <f>Q44+R43</f>
        <v/>
      </c>
      <c r="S44" s="30">
        <f>R44+S43</f>
        <v/>
      </c>
      <c r="T44" s="30">
        <f>S44+T43</f>
        <v/>
      </c>
      <c r="U44" s="30">
        <f>T44+U43</f>
        <v/>
      </c>
      <c r="V44" s="30">
        <f>U44+V43</f>
        <v/>
      </c>
      <c r="W44" s="30">
        <f>V44+W43</f>
        <v/>
      </c>
      <c r="X44" s="30">
        <f>W44+X43</f>
        <v/>
      </c>
      <c r="Y44" s="30">
        <f>X44+Y43</f>
        <v/>
      </c>
      <c r="Z44" s="30">
        <f>Y44+Z43</f>
        <v/>
      </c>
      <c r="AA44" s="30">
        <f>Z44+AA43</f>
        <v/>
      </c>
      <c r="AB44" s="30">
        <f>AA44+AB43</f>
        <v/>
      </c>
      <c r="AC44" s="30">
        <f>AB44+AC43</f>
        <v/>
      </c>
    </row>
    <row r="45">
      <c r="A45" s="24" t="inlineStr">
        <is>
          <t>Memo: o seu tempo (não sai do caixa)</t>
        </is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</row>
    <row r="46">
      <c r="A46" s="3" t="inlineStr">
        <is>
          <t>Horas de rua</t>
        </is>
      </c>
      <c r="B46" s="3" t="inlineStr">
        <is>
          <t>n1</t>
        </is>
      </c>
      <c r="C46" s="26">
        <f>C7*Premissas!$C$33</f>
        <v/>
      </c>
      <c r="D46" s="26">
        <f>D7*Premissas!$C$33</f>
        <v/>
      </c>
      <c r="E46" s="26">
        <f>E7*Premissas!$C$33</f>
        <v/>
      </c>
      <c r="F46" s="26">
        <f>F7*Premissas!$C$33</f>
        <v/>
      </c>
      <c r="G46" s="26">
        <f>G7*Premissas!$C$33</f>
        <v/>
      </c>
      <c r="H46" s="26">
        <f>H7*Premissas!$C$33</f>
        <v/>
      </c>
      <c r="I46" s="26">
        <f>I7*Premissas!$C$33</f>
        <v/>
      </c>
      <c r="J46" s="26">
        <f>J7*Premissas!$C$33</f>
        <v/>
      </c>
      <c r="K46" s="26">
        <f>K7*Premissas!$C$33</f>
        <v/>
      </c>
      <c r="L46" s="26">
        <f>L7*Premissas!$C$33</f>
        <v/>
      </c>
      <c r="M46" s="26">
        <f>M7*Premissas!$C$33</f>
        <v/>
      </c>
      <c r="N46" s="26">
        <f>N7*Premissas!$C$33</f>
        <v/>
      </c>
      <c r="O46" s="26">
        <f>O7*Premissas!$C$33</f>
        <v/>
      </c>
      <c r="P46" s="26">
        <f>P7*Premissas!$C$33</f>
        <v/>
      </c>
      <c r="Q46" s="26">
        <f>Q7*Premissas!$C$33</f>
        <v/>
      </c>
      <c r="R46" s="26">
        <f>R7*Premissas!$C$33</f>
        <v/>
      </c>
      <c r="S46" s="26">
        <f>S7*Premissas!$C$33</f>
        <v/>
      </c>
      <c r="T46" s="26">
        <f>T7*Premissas!$C$33</f>
        <v/>
      </c>
      <c r="U46" s="26">
        <f>U7*Premissas!$C$33</f>
        <v/>
      </c>
      <c r="V46" s="26">
        <f>V7*Premissas!$C$33</f>
        <v/>
      </c>
      <c r="W46" s="26">
        <f>W7*Premissas!$C$33</f>
        <v/>
      </c>
      <c r="X46" s="26">
        <f>X7*Premissas!$C$33</f>
        <v/>
      </c>
      <c r="Y46" s="26">
        <f>Y7*Premissas!$C$33</f>
        <v/>
      </c>
      <c r="Z46" s="26">
        <f>Z7*Premissas!$C$33</f>
        <v/>
      </c>
      <c r="AA46" s="26">
        <f>AA7*Premissas!$C$33</f>
        <v/>
      </c>
      <c r="AB46" s="26">
        <f>AB7*Premissas!$C$33</f>
        <v/>
      </c>
      <c r="AC46" s="26">
        <f>AC7*Premissas!$C$33</f>
        <v/>
      </c>
    </row>
    <row r="47">
      <c r="A47" s="3" t="inlineStr">
        <is>
          <t>Horas de suporte e implantação</t>
        </is>
      </c>
      <c r="B47" s="3" t="inlineStr">
        <is>
          <t>n1</t>
        </is>
      </c>
      <c r="C47" s="26">
        <f>C24*Premissas!$C$35+C15*Premissas!$C$36</f>
        <v/>
      </c>
      <c r="D47" s="26">
        <f>D24*Premissas!$C$35+D15*Premissas!$C$36</f>
        <v/>
      </c>
      <c r="E47" s="26">
        <f>E24*Premissas!$C$35+E15*Premissas!$C$36</f>
        <v/>
      </c>
      <c r="F47" s="26">
        <f>F24*Premissas!$C$35+F15*Premissas!$C$36</f>
        <v/>
      </c>
      <c r="G47" s="26">
        <f>G24*Premissas!$C$35+G15*Premissas!$C$36</f>
        <v/>
      </c>
      <c r="H47" s="26">
        <f>H24*Premissas!$C$35+H15*Premissas!$C$36</f>
        <v/>
      </c>
      <c r="I47" s="26">
        <f>I24*Premissas!$C$35+I15*Premissas!$C$36</f>
        <v/>
      </c>
      <c r="J47" s="26">
        <f>J24*Premissas!$C$35+J15*Premissas!$C$36</f>
        <v/>
      </c>
      <c r="K47" s="26">
        <f>K24*Premissas!$C$35+K15*Premissas!$C$36</f>
        <v/>
      </c>
      <c r="L47" s="26">
        <f>L24*Premissas!$C$35+L15*Premissas!$C$36</f>
        <v/>
      </c>
      <c r="M47" s="26">
        <f>M24*Premissas!$C$35+M15*Premissas!$C$36</f>
        <v/>
      </c>
      <c r="N47" s="26">
        <f>N24*Premissas!$C$35+N15*Premissas!$C$36</f>
        <v/>
      </c>
      <c r="O47" s="26">
        <f>O24*Premissas!$C$35+O15*Premissas!$C$36</f>
        <v/>
      </c>
      <c r="P47" s="26">
        <f>P24*Premissas!$C$35+P15*Premissas!$C$36</f>
        <v/>
      </c>
      <c r="Q47" s="26">
        <f>Q24*Premissas!$C$35+Q15*Premissas!$C$36</f>
        <v/>
      </c>
      <c r="R47" s="26">
        <f>R24*Premissas!$C$35+R15*Premissas!$C$36</f>
        <v/>
      </c>
      <c r="S47" s="26">
        <f>S24*Premissas!$C$35+S15*Premissas!$C$36</f>
        <v/>
      </c>
      <c r="T47" s="26">
        <f>T24*Premissas!$C$35+T15*Premissas!$C$36</f>
        <v/>
      </c>
      <c r="U47" s="26">
        <f>U24*Premissas!$C$35+U15*Premissas!$C$36</f>
        <v/>
      </c>
      <c r="V47" s="26">
        <f>V24*Premissas!$C$35+V15*Premissas!$C$36</f>
        <v/>
      </c>
      <c r="W47" s="26">
        <f>W24*Premissas!$C$35+W15*Premissas!$C$36</f>
        <v/>
      </c>
      <c r="X47" s="26">
        <f>X24*Premissas!$C$35+X15*Premissas!$C$36</f>
        <v/>
      </c>
      <c r="Y47" s="26">
        <f>Y24*Premissas!$C$35+Y15*Premissas!$C$36</f>
        <v/>
      </c>
      <c r="Z47" s="26">
        <f>Z24*Premissas!$C$35+Z15*Premissas!$C$36</f>
        <v/>
      </c>
      <c r="AA47" s="26">
        <f>AA24*Premissas!$C$35+AA15*Premissas!$C$36</f>
        <v/>
      </c>
      <c r="AB47" s="26">
        <f>AB24*Premissas!$C$35+AB15*Premissas!$C$36</f>
        <v/>
      </c>
      <c r="AC47" s="26">
        <f>AC24*Premissas!$C$35+AC15*Premissas!$C$36</f>
        <v/>
      </c>
    </row>
    <row r="48">
      <c r="A48" s="3" t="inlineStr">
        <is>
          <t>Valor do tempo</t>
        </is>
      </c>
      <c r="B48" s="3" t="inlineStr">
        <is>
          <t>brl</t>
        </is>
      </c>
      <c r="C48" s="29">
        <f>(C46+C47)*Premissas!$C$34</f>
        <v/>
      </c>
      <c r="D48" s="29">
        <f>(D46+D47)*Premissas!$C$34</f>
        <v/>
      </c>
      <c r="E48" s="29">
        <f>(E46+E47)*Premissas!$C$34</f>
        <v/>
      </c>
      <c r="F48" s="29">
        <f>(F46+F47)*Premissas!$C$34</f>
        <v/>
      </c>
      <c r="G48" s="29">
        <f>(G46+G47)*Premissas!$C$34</f>
        <v/>
      </c>
      <c r="H48" s="29">
        <f>(H46+H47)*Premissas!$C$34</f>
        <v/>
      </c>
      <c r="I48" s="29">
        <f>(I46+I47)*Premissas!$C$34</f>
        <v/>
      </c>
      <c r="J48" s="29">
        <f>(J46+J47)*Premissas!$C$34</f>
        <v/>
      </c>
      <c r="K48" s="29">
        <f>(K46+K47)*Premissas!$C$34</f>
        <v/>
      </c>
      <c r="L48" s="29">
        <f>(L46+L47)*Premissas!$C$34</f>
        <v/>
      </c>
      <c r="M48" s="29">
        <f>(M46+M47)*Premissas!$C$34</f>
        <v/>
      </c>
      <c r="N48" s="29">
        <f>(N46+N47)*Premissas!$C$34</f>
        <v/>
      </c>
      <c r="O48" s="29">
        <f>(O46+O47)*Premissas!$C$34</f>
        <v/>
      </c>
      <c r="P48" s="29">
        <f>(P46+P47)*Premissas!$C$34</f>
        <v/>
      </c>
      <c r="Q48" s="29">
        <f>(Q46+Q47)*Premissas!$C$34</f>
        <v/>
      </c>
      <c r="R48" s="29">
        <f>(R46+R47)*Premissas!$C$34</f>
        <v/>
      </c>
      <c r="S48" s="29">
        <f>(S46+S47)*Premissas!$C$34</f>
        <v/>
      </c>
      <c r="T48" s="29">
        <f>(T46+T47)*Premissas!$C$34</f>
        <v/>
      </c>
      <c r="U48" s="29">
        <f>(U46+U47)*Premissas!$C$34</f>
        <v/>
      </c>
      <c r="V48" s="29">
        <f>(V46+V47)*Premissas!$C$34</f>
        <v/>
      </c>
      <c r="W48" s="29">
        <f>(W46+W47)*Premissas!$C$34</f>
        <v/>
      </c>
      <c r="X48" s="29">
        <f>(X46+X47)*Premissas!$C$34</f>
        <v/>
      </c>
      <c r="Y48" s="29">
        <f>(Y46+Y47)*Premissas!$C$34</f>
        <v/>
      </c>
      <c r="Z48" s="29">
        <f>(Z46+Z47)*Premissas!$C$34</f>
        <v/>
      </c>
      <c r="AA48" s="29">
        <f>(AA46+AA47)*Premissas!$C$34</f>
        <v/>
      </c>
      <c r="AB48" s="29">
        <f>(AB46+AB47)*Premissas!$C$34</f>
        <v/>
      </c>
      <c r="AC48" s="29">
        <f>(AC46+AC47)*Premissas!$C$34</f>
        <v/>
      </c>
    </row>
    <row r="49">
      <c r="A49" s="3" t="inlineStr">
        <is>
          <t>Resultado do mês contando o seu tempo</t>
        </is>
      </c>
      <c r="B49" s="3" t="inlineStr">
        <is>
          <t>brl</t>
        </is>
      </c>
      <c r="C49" s="29">
        <f>C43-C48</f>
        <v/>
      </c>
      <c r="D49" s="29">
        <f>D43-D48</f>
        <v/>
      </c>
      <c r="E49" s="29">
        <f>E43-E48</f>
        <v/>
      </c>
      <c r="F49" s="29">
        <f>F43-F48</f>
        <v/>
      </c>
      <c r="G49" s="29">
        <f>G43-G48</f>
        <v/>
      </c>
      <c r="H49" s="29">
        <f>H43-H48</f>
        <v/>
      </c>
      <c r="I49" s="29">
        <f>I43-I48</f>
        <v/>
      </c>
      <c r="J49" s="29">
        <f>J43-J48</f>
        <v/>
      </c>
      <c r="K49" s="29">
        <f>K43-K48</f>
        <v/>
      </c>
      <c r="L49" s="29">
        <f>L43-L48</f>
        <v/>
      </c>
      <c r="M49" s="29">
        <f>M43-M48</f>
        <v/>
      </c>
      <c r="N49" s="29">
        <f>N43-N48</f>
        <v/>
      </c>
      <c r="O49" s="29">
        <f>O43-O48</f>
        <v/>
      </c>
      <c r="P49" s="29">
        <f>P43-P48</f>
        <v/>
      </c>
      <c r="Q49" s="29">
        <f>Q43-Q48</f>
        <v/>
      </c>
      <c r="R49" s="29">
        <f>R43-R48</f>
        <v/>
      </c>
      <c r="S49" s="29">
        <f>S43-S48</f>
        <v/>
      </c>
      <c r="T49" s="29">
        <f>T43-T48</f>
        <v/>
      </c>
      <c r="U49" s="29">
        <f>U43-U48</f>
        <v/>
      </c>
      <c r="V49" s="29">
        <f>V43-V48</f>
        <v/>
      </c>
      <c r="W49" s="29">
        <f>W43-W48</f>
        <v/>
      </c>
      <c r="X49" s="29">
        <f>X43-X48</f>
        <v/>
      </c>
      <c r="Y49" s="29">
        <f>Y43-Y48</f>
        <v/>
      </c>
      <c r="Z49" s="29">
        <f>Z43-Z48</f>
        <v/>
      </c>
      <c r="AA49" s="29">
        <f>AA43-AA48</f>
        <v/>
      </c>
      <c r="AB49" s="29">
        <f>AB43-AB48</f>
        <v/>
      </c>
      <c r="AC49" s="29">
        <f>AC43-AC48</f>
        <v/>
      </c>
    </row>
    <row r="50">
      <c r="A50" s="3" t="inlineStr">
        <is>
          <t>Marcador: resultado operacional &gt;= 0</t>
        </is>
      </c>
      <c r="B50" s="3" t="inlineStr">
        <is>
          <t>n</t>
        </is>
      </c>
      <c r="C50" s="23">
        <f>IF(C41&gt;=0,1,0)</f>
        <v/>
      </c>
      <c r="D50" s="23">
        <f>IF(D41&gt;=0,1,0)</f>
        <v/>
      </c>
      <c r="E50" s="23">
        <f>IF(E41&gt;=0,1,0)</f>
        <v/>
      </c>
      <c r="F50" s="23">
        <f>IF(F41&gt;=0,1,0)</f>
        <v/>
      </c>
      <c r="G50" s="23">
        <f>IF(G41&gt;=0,1,0)</f>
        <v/>
      </c>
      <c r="H50" s="23">
        <f>IF(H41&gt;=0,1,0)</f>
        <v/>
      </c>
      <c r="I50" s="23">
        <f>IF(I41&gt;=0,1,0)</f>
        <v/>
      </c>
      <c r="J50" s="23">
        <f>IF(J41&gt;=0,1,0)</f>
        <v/>
      </c>
      <c r="K50" s="23">
        <f>IF(K41&gt;=0,1,0)</f>
        <v/>
      </c>
      <c r="L50" s="23">
        <f>IF(L41&gt;=0,1,0)</f>
        <v/>
      </c>
      <c r="M50" s="23">
        <f>IF(M41&gt;=0,1,0)</f>
        <v/>
      </c>
      <c r="N50" s="23">
        <f>IF(N41&gt;=0,1,0)</f>
        <v/>
      </c>
      <c r="O50" s="23">
        <f>IF(O41&gt;=0,1,0)</f>
        <v/>
      </c>
      <c r="P50" s="23">
        <f>IF(P41&gt;=0,1,0)</f>
        <v/>
      </c>
      <c r="Q50" s="23">
        <f>IF(Q41&gt;=0,1,0)</f>
        <v/>
      </c>
      <c r="R50" s="23">
        <f>IF(R41&gt;=0,1,0)</f>
        <v/>
      </c>
      <c r="S50" s="23">
        <f>IF(S41&gt;=0,1,0)</f>
        <v/>
      </c>
      <c r="T50" s="23">
        <f>IF(T41&gt;=0,1,0)</f>
        <v/>
      </c>
      <c r="U50" s="23">
        <f>IF(U41&gt;=0,1,0)</f>
        <v/>
      </c>
      <c r="V50" s="23">
        <f>IF(V41&gt;=0,1,0)</f>
        <v/>
      </c>
      <c r="W50" s="23">
        <f>IF(W41&gt;=0,1,0)</f>
        <v/>
      </c>
      <c r="X50" s="23">
        <f>IF(X41&gt;=0,1,0)</f>
        <v/>
      </c>
      <c r="Y50" s="23">
        <f>IF(Y41&gt;=0,1,0)</f>
        <v/>
      </c>
      <c r="Z50" s="23">
        <f>IF(Z41&gt;=0,1,0)</f>
        <v/>
      </c>
      <c r="AA50" s="23">
        <f>IF(AA41&gt;=0,1,0)</f>
        <v/>
      </c>
      <c r="AB50" s="23">
        <f>IF(AB41&gt;=0,1,0)</f>
        <v/>
      </c>
      <c r="AC50" s="23">
        <f>IF(AC41&gt;=0,1,0)</f>
        <v/>
      </c>
    </row>
    <row r="51">
      <c r="A51" s="3" t="inlineStr">
        <is>
          <t>Marcador: caixa acumulado &gt;= 0</t>
        </is>
      </c>
      <c r="B51" s="3" t="inlineStr">
        <is>
          <t>n</t>
        </is>
      </c>
      <c r="C51" s="23">
        <f>IF(C44&gt;=0,1,0)</f>
        <v/>
      </c>
      <c r="D51" s="23">
        <f>IF(D44&gt;=0,1,0)</f>
        <v/>
      </c>
      <c r="E51" s="23">
        <f>IF(E44&gt;=0,1,0)</f>
        <v/>
      </c>
      <c r="F51" s="23">
        <f>IF(F44&gt;=0,1,0)</f>
        <v/>
      </c>
      <c r="G51" s="23">
        <f>IF(G44&gt;=0,1,0)</f>
        <v/>
      </c>
      <c r="H51" s="23">
        <f>IF(H44&gt;=0,1,0)</f>
        <v/>
      </c>
      <c r="I51" s="23">
        <f>IF(I44&gt;=0,1,0)</f>
        <v/>
      </c>
      <c r="J51" s="23">
        <f>IF(J44&gt;=0,1,0)</f>
        <v/>
      </c>
      <c r="K51" s="23">
        <f>IF(K44&gt;=0,1,0)</f>
        <v/>
      </c>
      <c r="L51" s="23">
        <f>IF(L44&gt;=0,1,0)</f>
        <v/>
      </c>
      <c r="M51" s="23">
        <f>IF(M44&gt;=0,1,0)</f>
        <v/>
      </c>
      <c r="N51" s="23">
        <f>IF(N44&gt;=0,1,0)</f>
        <v/>
      </c>
      <c r="O51" s="23">
        <f>IF(O44&gt;=0,1,0)</f>
        <v/>
      </c>
      <c r="P51" s="23">
        <f>IF(P44&gt;=0,1,0)</f>
        <v/>
      </c>
      <c r="Q51" s="23">
        <f>IF(Q44&gt;=0,1,0)</f>
        <v/>
      </c>
      <c r="R51" s="23">
        <f>IF(R44&gt;=0,1,0)</f>
        <v/>
      </c>
      <c r="S51" s="23">
        <f>IF(S44&gt;=0,1,0)</f>
        <v/>
      </c>
      <c r="T51" s="23">
        <f>IF(T44&gt;=0,1,0)</f>
        <v/>
      </c>
      <c r="U51" s="23">
        <f>IF(U44&gt;=0,1,0)</f>
        <v/>
      </c>
      <c r="V51" s="23">
        <f>IF(V44&gt;=0,1,0)</f>
        <v/>
      </c>
      <c r="W51" s="23">
        <f>IF(W44&gt;=0,1,0)</f>
        <v/>
      </c>
      <c r="X51" s="23">
        <f>IF(X44&gt;=0,1,0)</f>
        <v/>
      </c>
      <c r="Y51" s="23">
        <f>IF(Y44&gt;=0,1,0)</f>
        <v/>
      </c>
      <c r="Z51" s="23">
        <f>IF(Z44&gt;=0,1,0)</f>
        <v/>
      </c>
      <c r="AA51" s="23">
        <f>IF(AA44&gt;=0,1,0)</f>
        <v/>
      </c>
      <c r="AB51" s="23">
        <f>IF(AB44&gt;=0,1,0)</f>
        <v/>
      </c>
      <c r="AC51" s="23">
        <f>IF(AC44&gt;=0,1,0)</f>
        <v/>
      </c>
    </row>
    <row r="53">
      <c r="A53" s="24" t="inlineStr">
        <is>
          <t>Resultados do cenário</t>
        </is>
      </c>
      <c r="B53" s="25" t="n"/>
      <c r="C53" s="25" t="n"/>
    </row>
    <row r="54">
      <c r="A54" s="3" t="inlineStr">
        <is>
          <t>Pagantes no fim (Dez/28)</t>
        </is>
      </c>
      <c r="C54" s="31">
        <f>AC23</f>
        <v/>
      </c>
    </row>
    <row r="55">
      <c r="A55" s="3" t="inlineStr">
        <is>
          <t>Receita bruta mensal no fim (Dez/28)</t>
        </is>
      </c>
      <c r="C55" s="32">
        <f>AC28</f>
        <v/>
      </c>
    </row>
    <row r="56">
      <c r="A56" s="3" t="inlineStr">
        <is>
          <t>Resultado operacional em Dez/28</t>
        </is>
      </c>
      <c r="C56" s="32">
        <f>AC41</f>
        <v/>
      </c>
    </row>
    <row r="57">
      <c r="A57" s="3" t="inlineStr">
        <is>
          <t>Primeiro mês com resultado operacional &gt;= 0</t>
        </is>
      </c>
      <c r="C57" s="33">
        <f>IFERROR(INDEX($C$4:$AC$4,MATCH(1,$C$50:$AC$50,0)),"depois de "&amp;$AC$4)</f>
        <v/>
      </c>
    </row>
    <row r="58">
      <c r="A58" s="3" t="inlineStr">
        <is>
          <t>Mês em que o caixa acumulado volta a ser &gt;= 0</t>
        </is>
      </c>
      <c r="C58" s="33">
        <f>IFERROR(INDEX($C$4:$AC$4,MATCH(1,$C$51:$AC$51,0)),"depois de "&amp;$AC$4)</f>
        <v/>
      </c>
    </row>
    <row r="59">
      <c r="A59" s="3" t="inlineStr">
        <is>
          <t>Maior exposição de caixa (o que você precisa bancar)</t>
        </is>
      </c>
      <c r="C59" s="32">
        <f>MIN(C44:AC44)</f>
        <v/>
      </c>
    </row>
    <row r="60">
      <c r="A60" s="3" t="inlineStr">
        <is>
          <t>Caixa acumulado em Dez/28</t>
        </is>
      </c>
      <c r="C60" s="32">
        <f>AC44</f>
        <v/>
      </c>
    </row>
    <row r="61">
      <c r="A61" s="3" t="inlineStr">
        <is>
          <t>Retorno sobre o total gasto (27 meses)</t>
        </is>
      </c>
      <c r="C61" s="34">
        <f>(SUM(C41:AC41)-SUM(C42:AC42))/(SUM(C40:AC40)+SUM(C42:AC42))</f>
        <v/>
      </c>
    </row>
    <row r="62">
      <c r="A62" s="3" t="inlineStr">
        <is>
          <t>Receita bruta média por pagante</t>
        </is>
      </c>
      <c r="C62" s="35">
        <f>Premissas!$D$52*Premissas!$C$6+(1-Premissas!$D$52)*Premissas!$C$7</f>
        <v/>
      </c>
    </row>
    <row r="63">
      <c r="A63" s="3" t="inlineStr">
        <is>
          <t>Receita líquida média por pagante (depois de taxa e imposto)</t>
        </is>
      </c>
      <c r="C63" s="35">
        <f>C62*(1-(Premissas!$C$8*Premissas!$C$9+(1-Premissas!$C$8)*Premissas!$C$10)-Premissas!$C$11)</f>
        <v/>
      </c>
    </row>
    <row r="64">
      <c r="A64" s="3" t="inlineStr">
        <is>
          <t>LTV sem contar o seu tempo</t>
        </is>
      </c>
      <c r="C64" s="32">
        <f>C63/Premissas!$D$51</f>
        <v/>
      </c>
    </row>
    <row r="65">
      <c r="A65" s="3" t="inlineStr">
        <is>
          <t>LTV descontando o seu tempo de suporte</t>
        </is>
      </c>
      <c r="C65" s="32">
        <f>(C63-Premissas!$C$35*Premissas!$C$34)/Premissas!$D$51</f>
        <v/>
      </c>
    </row>
    <row r="66">
      <c r="A66" s="3" t="inlineStr">
        <is>
          <t>CAC em dinheiro (rua + conteúdo por novo pagante)</t>
        </is>
      </c>
      <c r="C66" s="32">
        <f>IFERROR((SUM(C38:AC38)+SUM(C39:AC39))/SUM(C21:AC21),0)</f>
        <v/>
      </c>
    </row>
    <row r="67">
      <c r="A67" s="3" t="inlineStr">
        <is>
          <t>CAC contando o seu tempo</t>
        </is>
      </c>
      <c r="C67" s="32">
        <f>IFERROR((SUM(C38:AC38)+SUM(C39:AC39)+SUM(C46:AC46)*Premissas!$C$34+SUM(C15:AC15)*Premissas!$C$36*Premissas!$C$34)/SUM(C21:AC21),0)</f>
        <v/>
      </c>
    </row>
    <row r="68">
      <c r="A68" s="3" t="inlineStr">
        <is>
          <t>LTV (com suporte) dividido pelo CAC (com tempo)</t>
        </is>
      </c>
      <c r="C68" s="36">
        <f>IFERROR(C65/C67,0)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CICLO · Metas de rua: quantas abordagens por dia para chegar lá</t>
        </is>
      </c>
    </row>
    <row r="2">
      <c r="A2" s="3" t="inlineStr">
        <is>
          <t>Conta de trás para frente, sem indicação e sem parceiros (por isso é conservadora). Muda com as premissas.</t>
        </is>
      </c>
    </row>
    <row r="4">
      <c r="A4" s="3" t="inlineStr">
        <is>
          <t>Prazo para atingir a meta (meses de rua)</t>
        </is>
      </c>
      <c r="C4" s="20" t="n">
        <v>9</v>
      </c>
    </row>
    <row r="5">
      <c r="A5" s="3" t="inlineStr">
        <is>
          <t>Dias de rua por mês</t>
        </is>
      </c>
      <c r="C5" s="20" t="n">
        <v>20</v>
      </c>
    </row>
    <row r="6">
      <c r="A6" s="3" t="inlineStr">
        <is>
          <t>Custo fixo mensal estável (R$)</t>
        </is>
      </c>
      <c r="C6" s="37">
        <f>(Premissas!$C$12+Premissas!$C$13)*Premissas!$C$5+Premissas!$C$16+Premissas!$C$17*Premissas!$C$18+Premissas!$C$19+Premissas!$C$20+Premissas!$C$32</f>
        <v/>
      </c>
    </row>
    <row r="8">
      <c r="A8" s="4" t="inlineStr">
        <is>
          <t>Meta de resultado (R$/mês)</t>
        </is>
      </c>
      <c r="B8" s="4" t="inlineStr">
        <is>
          <t>Cenário</t>
        </is>
      </c>
      <c r="C8" s="4" t="inlineStr">
        <is>
          <t>Receita líquida por pagante</t>
        </is>
      </c>
      <c r="D8" s="4" t="inlineStr">
        <is>
          <t>Pagantes</t>
        </is>
      </c>
      <c r="E8" s="4" t="inlineStr">
        <is>
          <t>Contas a criar</t>
        </is>
      </c>
      <c r="F8" s="4" t="inlineStr">
        <is>
          <t>Conversas</t>
        </is>
      </c>
      <c r="G8" s="4" t="inlineStr">
        <is>
          <t>Abordagens</t>
        </is>
      </c>
      <c r="H8" s="4" t="inlineStr">
        <is>
          <t>Abordagens por dia</t>
        </is>
      </c>
    </row>
    <row r="9">
      <c r="A9" s="18" t="n">
        <v>0</v>
      </c>
      <c r="B9" s="3" t="inlineStr">
        <is>
          <t>Pessimista</t>
        </is>
      </c>
      <c r="C9" s="38">
        <f>Pessimista!C63</f>
        <v/>
      </c>
      <c r="D9" s="23">
        <f>ROUNDUP(($A9+$C$6)/C9,0)</f>
        <v/>
      </c>
      <c r="E9" s="39">
        <f>ROUNDUP(D9/Premissas!$B$50,0)</f>
        <v/>
      </c>
      <c r="F9" s="39">
        <f>ROUNDUP(E9/Premissas!$B$48,0)</f>
        <v/>
      </c>
      <c r="G9" s="39">
        <f>ROUNDUP(F9/Premissas!$B$47,0)</f>
        <v/>
      </c>
      <c r="H9" s="26">
        <f>G9/($C$4*$C$5)</f>
        <v/>
      </c>
    </row>
    <row r="10">
      <c r="A10" s="18" t="n">
        <v>0</v>
      </c>
      <c r="B10" s="3" t="inlineStr">
        <is>
          <t>Base</t>
        </is>
      </c>
      <c r="C10" s="38">
        <f>Base!C63</f>
        <v/>
      </c>
      <c r="D10" s="23">
        <f>ROUNDUP(($A10+$C$6)/C10,0)</f>
        <v/>
      </c>
      <c r="E10" s="39">
        <f>ROUNDUP(D10/Premissas!$C$50,0)</f>
        <v/>
      </c>
      <c r="F10" s="39">
        <f>ROUNDUP(E10/Premissas!$C$48,0)</f>
        <v/>
      </c>
      <c r="G10" s="39">
        <f>ROUNDUP(F10/Premissas!$C$47,0)</f>
        <v/>
      </c>
      <c r="H10" s="26">
        <f>G10/($C$4*$C$5)</f>
        <v/>
      </c>
    </row>
    <row r="11">
      <c r="A11" s="18" t="n">
        <v>0</v>
      </c>
      <c r="B11" s="3" t="inlineStr">
        <is>
          <t>Otimista</t>
        </is>
      </c>
      <c r="C11" s="38">
        <f>Otimista!C63</f>
        <v/>
      </c>
      <c r="D11" s="23">
        <f>ROUNDUP(($A11+$C$6)/C11,0)</f>
        <v/>
      </c>
      <c r="E11" s="39">
        <f>ROUNDUP(D11/Premissas!$D$50,0)</f>
        <v/>
      </c>
      <c r="F11" s="39">
        <f>ROUNDUP(E11/Premissas!$D$48,0)</f>
        <v/>
      </c>
      <c r="G11" s="39">
        <f>ROUNDUP(F11/Premissas!$D$47,0)</f>
        <v/>
      </c>
      <c r="H11" s="26">
        <f>G11/($C$4*$C$5)</f>
        <v/>
      </c>
    </row>
    <row r="12">
      <c r="A12" s="18" t="n">
        <v>1000</v>
      </c>
      <c r="B12" s="3" t="inlineStr">
        <is>
          <t>Pessimista</t>
        </is>
      </c>
      <c r="C12" s="38">
        <f>Pessimista!C63</f>
        <v/>
      </c>
      <c r="D12" s="23">
        <f>ROUNDUP(($A12+$C$6)/C12,0)</f>
        <v/>
      </c>
      <c r="E12" s="39">
        <f>ROUNDUP(D12/Premissas!$B$50,0)</f>
        <v/>
      </c>
      <c r="F12" s="39">
        <f>ROUNDUP(E12/Premissas!$B$48,0)</f>
        <v/>
      </c>
      <c r="G12" s="39">
        <f>ROUNDUP(F12/Premissas!$B$47,0)</f>
        <v/>
      </c>
      <c r="H12" s="26">
        <f>G12/($C$4*$C$5)</f>
        <v/>
      </c>
    </row>
    <row r="13">
      <c r="A13" s="18" t="n">
        <v>1000</v>
      </c>
      <c r="B13" s="3" t="inlineStr">
        <is>
          <t>Base</t>
        </is>
      </c>
      <c r="C13" s="38">
        <f>Base!C63</f>
        <v/>
      </c>
      <c r="D13" s="23">
        <f>ROUNDUP(($A13+$C$6)/C13,0)</f>
        <v/>
      </c>
      <c r="E13" s="39">
        <f>ROUNDUP(D13/Premissas!$C$50,0)</f>
        <v/>
      </c>
      <c r="F13" s="39">
        <f>ROUNDUP(E13/Premissas!$C$48,0)</f>
        <v/>
      </c>
      <c r="G13" s="39">
        <f>ROUNDUP(F13/Premissas!$C$47,0)</f>
        <v/>
      </c>
      <c r="H13" s="26">
        <f>G13/($C$4*$C$5)</f>
        <v/>
      </c>
    </row>
    <row r="14">
      <c r="A14" s="18" t="n">
        <v>1000</v>
      </c>
      <c r="B14" s="3" t="inlineStr">
        <is>
          <t>Otimista</t>
        </is>
      </c>
      <c r="C14" s="38">
        <f>Otimista!C63</f>
        <v/>
      </c>
      <c r="D14" s="23">
        <f>ROUNDUP(($A14+$C$6)/C14,0)</f>
        <v/>
      </c>
      <c r="E14" s="39">
        <f>ROUNDUP(D14/Premissas!$D$50,0)</f>
        <v/>
      </c>
      <c r="F14" s="39">
        <f>ROUNDUP(E14/Premissas!$D$48,0)</f>
        <v/>
      </c>
      <c r="G14" s="39">
        <f>ROUNDUP(F14/Premissas!$D$47,0)</f>
        <v/>
      </c>
      <c r="H14" s="26">
        <f>G14/($C$4*$C$5)</f>
        <v/>
      </c>
    </row>
    <row r="15">
      <c r="A15" s="18" t="n">
        <v>3000</v>
      </c>
      <c r="B15" s="3" t="inlineStr">
        <is>
          <t>Pessimista</t>
        </is>
      </c>
      <c r="C15" s="38">
        <f>Pessimista!C63</f>
        <v/>
      </c>
      <c r="D15" s="23">
        <f>ROUNDUP(($A15+$C$6)/C15,0)</f>
        <v/>
      </c>
      <c r="E15" s="39">
        <f>ROUNDUP(D15/Premissas!$B$50,0)</f>
        <v/>
      </c>
      <c r="F15" s="39">
        <f>ROUNDUP(E15/Premissas!$B$48,0)</f>
        <v/>
      </c>
      <c r="G15" s="39">
        <f>ROUNDUP(F15/Premissas!$B$47,0)</f>
        <v/>
      </c>
      <c r="H15" s="26">
        <f>G15/($C$4*$C$5)</f>
        <v/>
      </c>
    </row>
    <row r="16">
      <c r="A16" s="18" t="n">
        <v>3000</v>
      </c>
      <c r="B16" s="3" t="inlineStr">
        <is>
          <t>Base</t>
        </is>
      </c>
      <c r="C16" s="38">
        <f>Base!C63</f>
        <v/>
      </c>
      <c r="D16" s="23">
        <f>ROUNDUP(($A16+$C$6)/C16,0)</f>
        <v/>
      </c>
      <c r="E16" s="39">
        <f>ROUNDUP(D16/Premissas!$C$50,0)</f>
        <v/>
      </c>
      <c r="F16" s="39">
        <f>ROUNDUP(E16/Premissas!$C$48,0)</f>
        <v/>
      </c>
      <c r="G16" s="39">
        <f>ROUNDUP(F16/Premissas!$C$47,0)</f>
        <v/>
      </c>
      <c r="H16" s="26">
        <f>G16/($C$4*$C$5)</f>
        <v/>
      </c>
    </row>
    <row r="17">
      <c r="A17" s="18" t="n">
        <v>3000</v>
      </c>
      <c r="B17" s="3" t="inlineStr">
        <is>
          <t>Otimista</t>
        </is>
      </c>
      <c r="C17" s="38">
        <f>Otimista!C63</f>
        <v/>
      </c>
      <c r="D17" s="23">
        <f>ROUNDUP(($A17+$C$6)/C17,0)</f>
        <v/>
      </c>
      <c r="E17" s="39">
        <f>ROUNDUP(D17/Premissas!$D$50,0)</f>
        <v/>
      </c>
      <c r="F17" s="39">
        <f>ROUNDUP(E17/Premissas!$D$48,0)</f>
        <v/>
      </c>
      <c r="G17" s="39">
        <f>ROUNDUP(F17/Premissas!$D$47,0)</f>
        <v/>
      </c>
      <c r="H17" s="26">
        <f>G17/($C$4*$C$5)</f>
        <v/>
      </c>
    </row>
    <row r="18">
      <c r="A18" s="18" t="n">
        <v>5000</v>
      </c>
      <c r="B18" s="3" t="inlineStr">
        <is>
          <t>Pessimista</t>
        </is>
      </c>
      <c r="C18" s="38">
        <f>Pessimista!C63</f>
        <v/>
      </c>
      <c r="D18" s="23">
        <f>ROUNDUP(($A18+$C$6)/C18,0)</f>
        <v/>
      </c>
      <c r="E18" s="39">
        <f>ROUNDUP(D18/Premissas!$B$50,0)</f>
        <v/>
      </c>
      <c r="F18" s="39">
        <f>ROUNDUP(E18/Premissas!$B$48,0)</f>
        <v/>
      </c>
      <c r="G18" s="39">
        <f>ROUNDUP(F18/Premissas!$B$47,0)</f>
        <v/>
      </c>
      <c r="H18" s="26">
        <f>G18/($C$4*$C$5)</f>
        <v/>
      </c>
    </row>
    <row r="19">
      <c r="A19" s="18" t="n">
        <v>5000</v>
      </c>
      <c r="B19" s="3" t="inlineStr">
        <is>
          <t>Base</t>
        </is>
      </c>
      <c r="C19" s="38">
        <f>Base!C63</f>
        <v/>
      </c>
      <c r="D19" s="23">
        <f>ROUNDUP(($A19+$C$6)/C19,0)</f>
        <v/>
      </c>
      <c r="E19" s="39">
        <f>ROUNDUP(D19/Premissas!$C$50,0)</f>
        <v/>
      </c>
      <c r="F19" s="39">
        <f>ROUNDUP(E19/Premissas!$C$48,0)</f>
        <v/>
      </c>
      <c r="G19" s="39">
        <f>ROUNDUP(F19/Premissas!$C$47,0)</f>
        <v/>
      </c>
      <c r="H19" s="26">
        <f>G19/($C$4*$C$5)</f>
        <v/>
      </c>
    </row>
    <row r="20">
      <c r="A20" s="18" t="n">
        <v>5000</v>
      </c>
      <c r="B20" s="3" t="inlineStr">
        <is>
          <t>Otimista</t>
        </is>
      </c>
      <c r="C20" s="38">
        <f>Otimista!C63</f>
        <v/>
      </c>
      <c r="D20" s="23">
        <f>ROUNDUP(($A20+$C$6)/C20,0)</f>
        <v/>
      </c>
      <c r="E20" s="39">
        <f>ROUNDUP(D20/Premissas!$D$50,0)</f>
        <v/>
      </c>
      <c r="F20" s="39">
        <f>ROUNDUP(E20/Premissas!$D$48,0)</f>
        <v/>
      </c>
      <c r="G20" s="39">
        <f>ROUNDUP(F20/Premissas!$D$47,0)</f>
        <v/>
      </c>
      <c r="H20" s="26">
        <f>G20/($C$4*$C$5)</f>
        <v/>
      </c>
    </row>
    <row r="22">
      <c r="A22" s="3" t="inlineStr">
        <is>
          <t>Meta 0 = ponto de equilíbrio (cobre o custo fixo). Não conta o seu tempo nem os pagantes que saem no caminho.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6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CICLO · Quantas contas cabem antes de a infraestrutura custar mais</t>
        </is>
      </c>
    </row>
    <row r="3">
      <c r="A3" s="4" t="inlineStr">
        <is>
          <t>Premissa de consumo por conta</t>
        </is>
      </c>
      <c r="B3" s="4" t="inlineStr"/>
      <c r="C3" s="4" t="inlineStr">
        <is>
          <t>Valor</t>
        </is>
      </c>
      <c r="D3" s="4" t="inlineStr"/>
      <c r="E3" s="4" t="inlineStr">
        <is>
          <t>Fonte / nota</t>
        </is>
      </c>
    </row>
    <row r="4">
      <c r="A4" s="3" t="inlineStr">
        <is>
          <t>Requisições (funções) por conta por mês</t>
        </is>
      </c>
      <c r="C4" s="20" t="n">
        <v>10000</v>
      </c>
      <c r="E4" s="2" t="inlineStr">
        <is>
          <t>[E] painel da equipe + página pública de agendamento + rotinas do Motor. Medir na Vercel depois do alpha</t>
        </is>
      </c>
    </row>
    <row r="5">
      <c r="A5" s="3" t="inlineStr">
        <is>
          <t>CPU ativa por requisição (ms)</t>
        </is>
      </c>
      <c r="C5" s="20" t="n">
        <v>50</v>
      </c>
      <c r="E5" s="2" t="inlineStr">
        <is>
          <t>[E] só o tempo de CPU, não a espera do banco. Medir na Vercel</t>
        </is>
      </c>
    </row>
    <row r="6">
      <c r="A6" s="3" t="inlineStr">
        <is>
          <t>MB de banco por agendamento (tudo incluído)</t>
        </is>
      </c>
      <c r="C6" s="40" t="n">
        <v>0.005</v>
      </c>
      <c r="E6" s="2" t="inlineStr">
        <is>
          <t>[M] agendamento 0,8 KB + cliente 1,2 KB + previsão, auditoria e comanda. 5 KB é o teto seguro</t>
        </is>
      </c>
    </row>
    <row r="7">
      <c r="A7" s="3" t="inlineStr">
        <is>
          <t>Agendamentos por conta por mês</t>
        </is>
      </c>
      <c r="C7" s="20" t="n">
        <v>400</v>
      </c>
      <c r="E7" s="2" t="inlineStr">
        <is>
          <t>[E] 2 profissionais x 8 por dia x 25 dias</t>
        </is>
      </c>
    </row>
    <row r="8">
      <c r="A8" s="3" t="inlineStr">
        <is>
          <t>MB da base de clientes importada por conta</t>
        </is>
      </c>
      <c r="C8" s="21" t="n">
        <v>0.5</v>
      </c>
      <c r="E8" s="2" t="inlineStr">
        <is>
          <t>[M] ~400 clientes x 1,2 KB</t>
        </is>
      </c>
    </row>
    <row r="9">
      <c r="A9" s="3" t="inlineStr">
        <is>
          <t>Idade média das contas (meses)</t>
        </is>
      </c>
      <c r="C9" s="20" t="n">
        <v>12</v>
      </c>
      <c r="E9" s="2" t="inlineStr">
        <is>
          <t>Quanto mais antiga, mais o banco pesa</t>
        </is>
      </c>
    </row>
    <row r="10">
      <c r="A10" s="3" t="inlineStr">
        <is>
          <t>MB de banco da plataforma vazia</t>
        </is>
      </c>
      <c r="C10" s="20" t="n">
        <v>80</v>
      </c>
      <c r="E10" s="2" t="inlineStr">
        <is>
          <t>[M] banco local medido: 82 MB</t>
        </is>
      </c>
    </row>
    <row r="11">
      <c r="A11" s="3" t="inlineStr">
        <is>
          <t>MB transferidos por conta por mês (Vercel)</t>
        </is>
      </c>
      <c r="C11" s="20" t="n">
        <v>150</v>
      </c>
      <c r="E11" s="2" t="inlineStr">
        <is>
          <t>[E] muito abaixo de 1 TB até milhares de contas</t>
        </is>
      </c>
    </row>
    <row r="12">
      <c r="A12" s="3" t="inlineStr">
        <is>
          <t>Uso Vercel por conta (US$/mês)</t>
        </is>
      </c>
      <c r="C12" s="41">
        <f>C4*0.6/1000000+C4*C5/3600000*0.128</f>
        <v/>
      </c>
      <c r="E12" s="2" t="inlineStr">
        <is>
          <t>[P] US$ 0,60 por milhão de chamadas + US$ 0,128 por hora de CPU ativa</t>
        </is>
      </c>
    </row>
    <row r="14">
      <c r="A14" s="3" t="inlineStr">
        <is>
          <t>MB de banco por conta por mês</t>
        </is>
      </c>
      <c r="C14" s="42">
        <f>C6*C7</f>
        <v/>
      </c>
    </row>
    <row r="15">
      <c r="A15" s="3" t="inlineStr">
        <is>
          <t>MB de banco por conta na idade média</t>
        </is>
      </c>
      <c r="C15" s="26">
        <f>C8+C14*C9</f>
        <v/>
      </c>
    </row>
    <row r="17">
      <c r="A17" s="24" t="inlineStr">
        <is>
          <t>Limite de cada plano grátis: até quantas contas</t>
        </is>
      </c>
    </row>
    <row r="18">
      <c r="A18" s="3" t="inlineStr">
        <is>
          <t>Supabase Free: 500 MB de banco</t>
        </is>
      </c>
      <c r="C18" s="23">
        <f>(500-C10)/C15</f>
        <v/>
      </c>
      <c r="E18" s="2" t="inlineStr">
        <is>
          <t>Sem backup e pausa após 1 semana sem uso [P]. Não serve para cliente pagando</t>
        </is>
      </c>
    </row>
    <row r="19">
      <c r="A19" s="3" t="inlineStr">
        <is>
          <t>Vercel Hobby: 1 milhão de chamadas</t>
        </is>
      </c>
      <c r="C19" s="23">
        <f>1000000/C4</f>
        <v/>
      </c>
      <c r="E19" s="2" t="inlineStr">
        <is>
          <t>[P] Hobby é só uso pessoal e não comercial</t>
        </is>
      </c>
    </row>
    <row r="20">
      <c r="A20" s="3" t="inlineStr">
        <is>
          <t>Vercel Hobby: 4 horas de CPU ativa</t>
        </is>
      </c>
      <c r="C20" s="23">
        <f>4*3600000/(C4*C5)</f>
        <v/>
      </c>
      <c r="E20" s="2" t="inlineStr">
        <is>
          <t>[P] costuma ser o limite que aperta primeiro</t>
        </is>
      </c>
    </row>
    <row r="21">
      <c r="A21" s="3" t="inlineStr">
        <is>
          <t>Vercel Pro: 1 TB de transferência</t>
        </is>
      </c>
      <c r="C21" s="23">
        <f>1000000/C11</f>
        <v/>
      </c>
      <c r="E21" s="2" t="inlineStr">
        <is>
          <t>[P] praticamente nunca aperta</t>
        </is>
      </c>
    </row>
    <row r="22">
      <c r="A22" s="3" t="inlineStr">
        <is>
          <t>Supabase Pro: 8 GB de banco incluídos</t>
        </is>
      </c>
      <c r="C22" s="23">
        <f>(8*1024-C10)/C15</f>
        <v/>
      </c>
      <c r="E22" s="2" t="inlineStr">
        <is>
          <t>[P] depois cobra US$ 0,125 por GB, ou seja, centavos</t>
        </is>
      </c>
    </row>
    <row r="23">
      <c r="A23" s="3" t="inlineStr">
        <is>
          <t>Resend grátis: 3.000 e-mails por mês</t>
        </is>
      </c>
      <c r="C23" s="39">
        <f>Premissas!C22</f>
        <v/>
      </c>
      <c r="E23" s="2" t="inlineStr">
        <is>
          <t>Vem das Premissas</t>
        </is>
      </c>
    </row>
    <row r="26">
      <c r="A26" s="4" t="inlineStr">
        <is>
          <t>Contas</t>
        </is>
      </c>
      <c r="B26" s="4" t="inlineStr"/>
      <c r="C26" s="4" t="inlineStr">
        <is>
          <t>Banco (GB)</t>
        </is>
      </c>
      <c r="D26" s="4" t="inlineStr">
        <is>
          <t>Chamadas/mês (mi)</t>
        </is>
      </c>
      <c r="E26" s="4" t="inlineStr">
        <is>
          <t>Vercel (US$)</t>
        </is>
      </c>
      <c r="F26" s="4" t="inlineStr">
        <is>
          <t>Supabase (US$)</t>
        </is>
      </c>
      <c r="G26" s="4" t="inlineStr">
        <is>
          <t>Total (US$)</t>
        </is>
      </c>
      <c r="H26" s="4" t="inlineStr">
        <is>
          <t>Total (R$)</t>
        </is>
      </c>
      <c r="I26" s="4" t="inlineStr">
        <is>
          <t>R$ por conta</t>
        </is>
      </c>
    </row>
    <row r="27">
      <c r="A27" s="20" t="n">
        <v>10</v>
      </c>
      <c r="C27" s="42">
        <f>(C$10+A27*C$15)/1024</f>
        <v/>
      </c>
      <c r="D27" s="42">
        <f>A27*C$4/1000000</f>
        <v/>
      </c>
      <c r="E27" s="17">
        <f>Premissas!$C$13+MAX(0,A27*C$12-Premissas!$C$14)</f>
        <v/>
      </c>
      <c r="F27" s="17">
        <f>Premissas!$C$12+IF(A27&gt;Premissas!$C$29,Premissas!$C$30,IF(A27&gt;Premissas!$C$27,Premissas!$C$28,IF(A27&gt;Premissas!$C$25,Premissas!$C$26,0)))+MAX(0,C27-8)*0.125</f>
        <v/>
      </c>
      <c r="G27" s="43">
        <f>E27+F27</f>
        <v/>
      </c>
      <c r="H27" s="37">
        <f>G27*Premissas!$C$5</f>
        <v/>
      </c>
      <c r="I27" s="19">
        <f>H27/A27</f>
        <v/>
      </c>
    </row>
    <row r="28">
      <c r="A28" s="20" t="n">
        <v>25</v>
      </c>
      <c r="C28" s="42">
        <f>(C$10+A28*C$15)/1024</f>
        <v/>
      </c>
      <c r="D28" s="42">
        <f>A28*C$4/1000000</f>
        <v/>
      </c>
      <c r="E28" s="17">
        <f>Premissas!$C$13+MAX(0,A28*C$12-Premissas!$C$14)</f>
        <v/>
      </c>
      <c r="F28" s="17">
        <f>Premissas!$C$12+IF(A28&gt;Premissas!$C$29,Premissas!$C$30,IF(A28&gt;Premissas!$C$27,Premissas!$C$28,IF(A28&gt;Premissas!$C$25,Premissas!$C$26,0)))+MAX(0,C28-8)*0.125</f>
        <v/>
      </c>
      <c r="G28" s="43">
        <f>E28+F28</f>
        <v/>
      </c>
      <c r="H28" s="37">
        <f>G28*Premissas!$C$5</f>
        <v/>
      </c>
      <c r="I28" s="19">
        <f>H28/A28</f>
        <v/>
      </c>
    </row>
    <row r="29">
      <c r="A29" s="20" t="n">
        <v>40</v>
      </c>
      <c r="C29" s="42">
        <f>(C$10+A29*C$15)/1024</f>
        <v/>
      </c>
      <c r="D29" s="42">
        <f>A29*C$4/1000000</f>
        <v/>
      </c>
      <c r="E29" s="17">
        <f>Premissas!$C$13+MAX(0,A29*C$12-Premissas!$C$14)</f>
        <v/>
      </c>
      <c r="F29" s="17">
        <f>Premissas!$C$12+IF(A29&gt;Premissas!$C$29,Premissas!$C$30,IF(A29&gt;Premissas!$C$27,Premissas!$C$28,IF(A29&gt;Premissas!$C$25,Premissas!$C$26,0)))+MAX(0,C29-8)*0.125</f>
        <v/>
      </c>
      <c r="G29" s="43">
        <f>E29+F29</f>
        <v/>
      </c>
      <c r="H29" s="37">
        <f>G29*Premissas!$C$5</f>
        <v/>
      </c>
      <c r="I29" s="19">
        <f>H29/A29</f>
        <v/>
      </c>
    </row>
    <row r="30">
      <c r="A30" s="20" t="n">
        <v>100</v>
      </c>
      <c r="C30" s="42">
        <f>(C$10+A30*C$15)/1024</f>
        <v/>
      </c>
      <c r="D30" s="42">
        <f>A30*C$4/1000000</f>
        <v/>
      </c>
      <c r="E30" s="17">
        <f>Premissas!$C$13+MAX(0,A30*C$12-Premissas!$C$14)</f>
        <v/>
      </c>
      <c r="F30" s="17">
        <f>Premissas!$C$12+IF(A30&gt;Premissas!$C$29,Premissas!$C$30,IF(A30&gt;Premissas!$C$27,Premissas!$C$28,IF(A30&gt;Premissas!$C$25,Premissas!$C$26,0)))+MAX(0,C30-8)*0.125</f>
        <v/>
      </c>
      <c r="G30" s="43">
        <f>E30+F30</f>
        <v/>
      </c>
      <c r="H30" s="37">
        <f>G30*Premissas!$C$5</f>
        <v/>
      </c>
      <c r="I30" s="19">
        <f>H30/A30</f>
        <v/>
      </c>
    </row>
    <row r="31">
      <c r="A31" s="20" t="n">
        <v>250</v>
      </c>
      <c r="C31" s="42">
        <f>(C$10+A31*C$15)/1024</f>
        <v/>
      </c>
      <c r="D31" s="42">
        <f>A31*C$4/1000000</f>
        <v/>
      </c>
      <c r="E31" s="17">
        <f>Premissas!$C$13+MAX(0,A31*C$12-Premissas!$C$14)</f>
        <v/>
      </c>
      <c r="F31" s="17">
        <f>Premissas!$C$12+IF(A31&gt;Premissas!$C$29,Premissas!$C$30,IF(A31&gt;Premissas!$C$27,Premissas!$C$28,IF(A31&gt;Premissas!$C$25,Premissas!$C$26,0)))+MAX(0,C31-8)*0.125</f>
        <v/>
      </c>
      <c r="G31" s="43">
        <f>E31+F31</f>
        <v/>
      </c>
      <c r="H31" s="37">
        <f>G31*Premissas!$C$5</f>
        <v/>
      </c>
      <c r="I31" s="19">
        <f>H31/A31</f>
        <v/>
      </c>
    </row>
    <row r="32">
      <c r="A32" s="20" t="n">
        <v>500</v>
      </c>
      <c r="C32" s="42">
        <f>(C$10+A32*C$15)/1024</f>
        <v/>
      </c>
      <c r="D32" s="42">
        <f>A32*C$4/1000000</f>
        <v/>
      </c>
      <c r="E32" s="17">
        <f>Premissas!$C$13+MAX(0,A32*C$12-Premissas!$C$14)</f>
        <v/>
      </c>
      <c r="F32" s="17">
        <f>Premissas!$C$12+IF(A32&gt;Premissas!$C$29,Premissas!$C$30,IF(A32&gt;Premissas!$C$27,Premissas!$C$28,IF(A32&gt;Premissas!$C$25,Premissas!$C$26,0)))+MAX(0,C32-8)*0.125</f>
        <v/>
      </c>
      <c r="G32" s="43">
        <f>E32+F32</f>
        <v/>
      </c>
      <c r="H32" s="37">
        <f>G32*Premissas!$C$5</f>
        <v/>
      </c>
      <c r="I32" s="19">
        <f>H32/A32</f>
        <v/>
      </c>
    </row>
    <row r="33">
      <c r="A33" s="20" t="n">
        <v>1000</v>
      </c>
      <c r="C33" s="42">
        <f>(C$10+A33*C$15)/1024</f>
        <v/>
      </c>
      <c r="D33" s="42">
        <f>A33*C$4/1000000</f>
        <v/>
      </c>
      <c r="E33" s="17">
        <f>Premissas!$C$13+MAX(0,A33*C$12-Premissas!$C$14)</f>
        <v/>
      </c>
      <c r="F33" s="17">
        <f>Premissas!$C$12+IF(A33&gt;Premissas!$C$29,Premissas!$C$30,IF(A33&gt;Premissas!$C$27,Premissas!$C$28,IF(A33&gt;Premissas!$C$25,Premissas!$C$26,0)))+MAX(0,C33-8)*0.125</f>
        <v/>
      </c>
      <c r="G33" s="43">
        <f>E33+F33</f>
        <v/>
      </c>
      <c r="H33" s="37">
        <f>G33*Premissas!$C$5</f>
        <v/>
      </c>
      <c r="I33" s="19">
        <f>H33/A33</f>
        <v/>
      </c>
    </row>
    <row r="34">
      <c r="A34" s="20" t="n">
        <v>2000</v>
      </c>
      <c r="C34" s="42">
        <f>(C$10+A34*C$15)/1024</f>
        <v/>
      </c>
      <c r="D34" s="42">
        <f>A34*C$4/1000000</f>
        <v/>
      </c>
      <c r="E34" s="17">
        <f>Premissas!$C$13+MAX(0,A34*C$12-Premissas!$C$14)</f>
        <v/>
      </c>
      <c r="F34" s="17">
        <f>Premissas!$C$12+IF(A34&gt;Premissas!$C$29,Premissas!$C$30,IF(A34&gt;Premissas!$C$27,Premissas!$C$28,IF(A34&gt;Premissas!$C$25,Premissas!$C$26,0)))+MAX(0,C34-8)*0.125</f>
        <v/>
      </c>
      <c r="G34" s="43">
        <f>E34+F34</f>
        <v/>
      </c>
      <c r="H34" s="37">
        <f>G34*Premissas!$C$5</f>
        <v/>
      </c>
      <c r="I34" s="19">
        <f>H34/A34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2026-09-30T03:45:24Z</dcterms:created>
  <dcterms:modified xmlns:dcterms="http://purl.org/dc/terms/" xmlns:xsi="http://www.w3.org/2001/XMLSchema-instance" xsi:type="dcterms:W3CDTF">2026-09-30T03:45:24Z</dcterms:modified>
</cp:coreProperties>
</file>